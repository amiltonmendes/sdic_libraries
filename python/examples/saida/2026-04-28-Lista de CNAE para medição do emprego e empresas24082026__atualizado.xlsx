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41" firstSheet="0" activeTab="1" autoFilterDateGrouping="1"/>
  </bookViews>
  <sheets>
    <sheet name="Planilha1" sheetId="1" state="visible" r:id="rId1"/>
    <sheet name="Dados atualizados para 2025" sheetId="2" state="visible" r:id="rId2"/>
  </sheets>
  <definedNames>
    <definedName name="_xlnm._FilterDatabase" localSheetId="0" hidden="1">'Planilha1'!$A$2:$V$110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2" fillId="0" borderId="0"/>
    <xf numFmtId="43" fontId="2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3" fontId="1" fillId="2" borderId="0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3" fontId="1" fillId="2" borderId="1" applyAlignment="1" pivotButton="0" quotePrefix="0" xfId="0">
      <alignment wrapText="1"/>
    </xf>
    <xf numFmtId="164" fontId="1" fillId="2" borderId="1" pivotButton="0" quotePrefix="0" xfId="0"/>
    <xf numFmtId="164" fontId="0" fillId="0" borderId="1" pivotButton="0" quotePrefix="0" xfId="1"/>
    <xf numFmtId="164" fontId="0" fillId="3" borderId="1" pivotButton="0" quotePrefix="0" xfId="1"/>
    <xf numFmtId="0" fontId="0" fillId="3" borderId="1" pivotButton="0" quotePrefix="0" xfId="0"/>
    <xf numFmtId="3" fontId="1" fillId="3" borderId="1" applyAlignment="1" pivotButton="0" quotePrefix="0" xfId="0">
      <alignment wrapText="1"/>
    </xf>
    <xf numFmtId="164" fontId="0" fillId="0" borderId="0" pivotButton="0" quotePrefix="0" xfId="1"/>
    <xf numFmtId="164" fontId="0" fillId="3" borderId="1" applyAlignment="1" pivotButton="0" quotePrefix="0" xfId="1">
      <alignment wrapText="1"/>
    </xf>
    <xf numFmtId="164" fontId="1" fillId="3" borderId="1" pivotButton="0" quotePrefix="0" xfId="1"/>
    <xf numFmtId="164" fontId="1" fillId="2" borderId="2" applyAlignment="1" pivotButton="0" quotePrefix="0" xfId="1">
      <alignment horizontal="center" vertical="center" wrapText="1"/>
    </xf>
    <xf numFmtId="164" fontId="1" fillId="2" borderId="0" pivotButton="0" quotePrefix="0" xfId="1"/>
    <xf numFmtId="3" fontId="3" fillId="2" borderId="1" applyAlignment="1" pivotButton="0" quotePrefix="0" xfId="0">
      <alignment wrapText="1"/>
    </xf>
    <xf numFmtId="165" fontId="1" fillId="2" borderId="0" applyAlignment="1" pivotButton="0" quotePrefix="0" xfId="1">
      <alignment horizontal="center" vertical="center" wrapText="1"/>
    </xf>
    <xf numFmtId="165" fontId="1" fillId="2" borderId="0" applyAlignment="1" pivotButton="0" quotePrefix="0" xfId="1">
      <alignment horizontal="center" vertical="center"/>
    </xf>
    <xf numFmtId="0" fontId="1" fillId="3" borderId="0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0" fillId="2" borderId="5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165" fontId="1" fillId="2" borderId="0" applyAlignment="1" pivotButton="0" quotePrefix="0" xfId="1">
      <alignment horizontal="center" vertical="center" wrapText="1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ySplit="2" topLeftCell="A3" activePane="bottomLeft" state="frozen"/>
      <selection pane="bottomLeft" activeCell="G11" sqref="G11"/>
    </sheetView>
  </sheetViews>
  <sheetFormatPr baseColWidth="8" defaultRowHeight="15"/>
  <cols>
    <col width="12.140625" customWidth="1" min="1" max="1"/>
    <col width="12.42578125" customWidth="1" min="2" max="2"/>
    <col width="51.140625" customWidth="1" min="3" max="3"/>
    <col width="13" customWidth="1" style="22" min="4" max="4"/>
    <col width="13.42578125" customWidth="1" style="22" min="5" max="5"/>
    <col width="11.5703125" customWidth="1" min="6" max="7"/>
    <col width="12.42578125" bestFit="1" customWidth="1" min="8" max="8"/>
    <col width="11.5703125" bestFit="1" customWidth="1" min="9" max="9"/>
    <col width="10.85546875" customWidth="1" min="10" max="10"/>
    <col width="15.28515625" customWidth="1" min="11" max="11"/>
    <col width="16.85546875" customWidth="1" min="12" max="12"/>
    <col width="14" customWidth="1" min="13" max="13"/>
    <col width="15.7109375" customWidth="1" min="14" max="14"/>
    <col width="15.28515625" customWidth="1" min="15" max="15"/>
    <col width="16.85546875" customWidth="1" min="16" max="16"/>
    <col width="14" customWidth="1" min="17" max="17"/>
    <col width="15.7109375" customWidth="1" min="18" max="18"/>
    <col width="15.28515625" customWidth="1" min="19" max="19"/>
    <col width="17.85546875" customWidth="1" min="20" max="22"/>
  </cols>
  <sheetData>
    <row r="1">
      <c r="D1" s="32" t="inlineStr">
        <is>
          <t>EMPREGOS</t>
        </is>
      </c>
      <c r="E1" s="36" t="n"/>
      <c r="F1" s="36" t="n"/>
      <c r="G1" s="36" t="n"/>
      <c r="H1" s="36" t="n"/>
      <c r="I1" s="36" t="n"/>
      <c r="J1" s="36" t="n"/>
    </row>
    <row r="2" ht="33.6" customHeight="1">
      <c r="A2" s="8" t="inlineStr">
        <is>
          <t xml:space="preserve">
CNAE</t>
        </is>
      </c>
      <c r="B2" s="8" t="inlineStr">
        <is>
          <t>Capítulos
CNAE</t>
        </is>
      </c>
      <c r="C2" s="9" t="inlineStr">
        <is>
          <t>SEÇÃO DA NCM / DESCRIÇÃO CNAE</t>
        </is>
      </c>
      <c r="D2" s="25" t="inlineStr">
        <is>
          <t>Estoque
2022</t>
        </is>
      </c>
      <c r="E2" s="25" t="inlineStr">
        <is>
          <t>Estoque
2023</t>
        </is>
      </c>
      <c r="F2" s="33" t="inlineStr">
        <is>
          <t>Estoque
2024</t>
        </is>
      </c>
      <c r="G2" s="33" t="inlineStr">
        <is>
          <t>Estoque
2025</t>
        </is>
      </c>
      <c r="H2" s="8" t="inlineStr">
        <is>
          <t>Saldo</t>
        </is>
      </c>
      <c r="I2" s="37" t="n"/>
      <c r="J2" s="38" t="n"/>
      <c r="K2" s="39" t="inlineStr">
        <is>
          <t>Quantidade de estabelecimentos por porte(RAIS)
(Metodologia Sebrae) 2022</t>
        </is>
      </c>
      <c r="O2" s="39" t="inlineStr">
        <is>
          <t>Quantidade de estabelecimentos por porte(RAIS completa)
(Metodologia Sebrae) 2023</t>
        </is>
      </c>
      <c r="S2" s="39" t="inlineStr">
        <is>
          <t>Quantidade de estabelecimentos por porte(RAIS)
(Metodologia Sebrae) 2024</t>
        </is>
      </c>
    </row>
    <row r="3" ht="30" customHeight="1">
      <c r="A3" s="1" t="n"/>
      <c r="B3" s="2" t="n"/>
      <c r="C3" s="2" t="n"/>
      <c r="D3" s="26" t="n"/>
      <c r="E3" s="26" t="n"/>
      <c r="F3" s="3" t="n"/>
      <c r="G3" s="3" t="n"/>
      <c r="H3" s="6" t="inlineStr">
        <is>
          <t>2023
(jan-dez)</t>
        </is>
      </c>
      <c r="I3" s="6" t="inlineStr">
        <is>
          <t>2024
(jan-dez)</t>
        </is>
      </c>
      <c r="J3" s="6" t="inlineStr">
        <is>
          <t>2025
(jan-set)</t>
        </is>
      </c>
      <c r="K3" s="10" t="inlineStr">
        <is>
          <t>Microempresa</t>
        </is>
      </c>
      <c r="L3" s="6" t="inlineStr">
        <is>
          <t>Empresa de 
pequeno porte</t>
        </is>
      </c>
      <c r="M3" s="6" t="inlineStr">
        <is>
          <t>Empresa de 
médio porte</t>
        </is>
      </c>
      <c r="N3" s="6" t="inlineStr">
        <is>
          <t>Grande 
empresa</t>
        </is>
      </c>
      <c r="O3" s="10" t="inlineStr">
        <is>
          <t>Microempresa</t>
        </is>
      </c>
      <c r="P3" s="6" t="inlineStr">
        <is>
          <t>Empresa de 
pequeno porte</t>
        </is>
      </c>
      <c r="Q3" s="6" t="inlineStr">
        <is>
          <t>Empresa de 
médio porte</t>
        </is>
      </c>
      <c r="R3" s="6" t="inlineStr">
        <is>
          <t>Grande 
empresa</t>
        </is>
      </c>
      <c r="S3" s="10" t="inlineStr">
        <is>
          <t>Microempresa</t>
        </is>
      </c>
      <c r="T3" s="6" t="inlineStr">
        <is>
          <t>Empresa de 
pequeno porte</t>
        </is>
      </c>
      <c r="U3" s="6" t="inlineStr">
        <is>
          <t>Empresa de 
médio porte</t>
        </is>
      </c>
      <c r="V3" s="6" t="inlineStr">
        <is>
          <t>Grande 
empresa</t>
        </is>
      </c>
    </row>
    <row r="4">
      <c r="A4" s="30" t="inlineStr">
        <is>
          <t>TOTAL DE TODAS AS CNAES</t>
        </is>
      </c>
      <c r="C4" s="11" t="n"/>
      <c r="D4" s="24" t="n"/>
      <c r="E4" s="24" t="n"/>
      <c r="F4" s="16" t="n">
        <v>46270514</v>
      </c>
      <c r="G4" s="21" t="n">
        <v>48995950</v>
      </c>
      <c r="H4" s="16" t="n">
        <v>1454972</v>
      </c>
      <c r="I4" s="16" t="n">
        <v>1678468</v>
      </c>
      <c r="J4" s="16" t="n">
        <v>1716600</v>
      </c>
      <c r="K4" s="15" t="n"/>
      <c r="L4" s="14" t="n"/>
      <c r="M4" s="14" t="n"/>
      <c r="N4" s="14" t="n"/>
      <c r="O4" s="16" t="n">
        <v>8560543</v>
      </c>
      <c r="P4" s="16" t="n">
        <v>527757</v>
      </c>
      <c r="Q4" s="16" t="n">
        <v>59706</v>
      </c>
      <c r="R4" s="16" t="n">
        <v>37529</v>
      </c>
      <c r="S4" s="16" t="n">
        <v>9625497</v>
      </c>
      <c r="T4" s="16" t="n">
        <v>543945</v>
      </c>
      <c r="U4" s="16" t="n">
        <v>62625</v>
      </c>
      <c r="V4" s="16" t="n">
        <v>39498</v>
      </c>
    </row>
    <row r="5">
      <c r="A5" s="31" t="inlineStr">
        <is>
          <t>TOTAL CANAES ABAIXO</t>
        </is>
      </c>
      <c r="B5" s="36" t="n"/>
      <c r="C5" s="2" t="n"/>
      <c r="D5" s="24" t="n">
        <v>52790864</v>
      </c>
      <c r="E5" s="24" t="n">
        <v>54706385</v>
      </c>
      <c r="F5" s="16">
        <f>SUM(F6:F110)</f>
        <v/>
      </c>
      <c r="G5" s="21" t="n">
        <v>11282383</v>
      </c>
      <c r="H5" s="16">
        <f>SUM(H6:H50)</f>
        <v/>
      </c>
      <c r="I5" s="16">
        <f>SUM(I6:I50)</f>
        <v/>
      </c>
      <c r="J5" s="16">
        <f>SUM(J6:J50)</f>
        <v/>
      </c>
      <c r="K5" s="15" t="n"/>
      <c r="L5" s="14" t="n"/>
      <c r="M5" s="14" t="n"/>
      <c r="N5" s="14" t="n"/>
      <c r="O5" s="17">
        <f>SUM(O6:O50)</f>
        <v/>
      </c>
      <c r="P5" s="17">
        <f>SUM(P6:P50)</f>
        <v/>
      </c>
      <c r="Q5" s="17">
        <f>SUM(Q6:Q50)</f>
        <v/>
      </c>
      <c r="R5" s="17">
        <f>SUM(R6:R50)</f>
        <v/>
      </c>
      <c r="S5" s="17">
        <f>SUM(S6:S50)</f>
        <v/>
      </c>
      <c r="T5" s="17">
        <f>SUM(T6:T50)</f>
        <v/>
      </c>
      <c r="U5" s="17">
        <f>SUM(U6:U50)</f>
        <v/>
      </c>
      <c r="V5" s="17">
        <f>SUM(V6:V50)</f>
        <v/>
      </c>
    </row>
    <row r="6">
      <c r="A6" s="4" t="inlineStr">
        <is>
          <t>CNAE</t>
        </is>
      </c>
      <c r="B6" s="5" t="n">
        <v>141</v>
      </c>
      <c r="C6" s="13" t="inlineStr">
        <is>
          <t>Confecção de artigos do vestuário e acessórios</t>
        </is>
      </c>
      <c r="D6" s="23" t="n">
        <v>526866</v>
      </c>
      <c r="E6" s="23" t="n">
        <v>508015</v>
      </c>
      <c r="F6" s="18" t="n">
        <v>511162</v>
      </c>
      <c r="G6" s="19" t="n">
        <v>524204</v>
      </c>
      <c r="H6" s="18" t="n">
        <v>-18097</v>
      </c>
      <c r="I6" s="18" t="n">
        <v>1073</v>
      </c>
      <c r="J6" s="18" t="n">
        <v>15716</v>
      </c>
      <c r="K6" s="19" t="n"/>
      <c r="L6" s="19" t="n"/>
      <c r="M6" s="19" t="n"/>
      <c r="N6" s="19" t="n"/>
      <c r="O6" s="18" t="n">
        <v>69139</v>
      </c>
      <c r="P6" s="18" t="n">
        <v>5204</v>
      </c>
      <c r="Q6" s="18" t="n">
        <v>465</v>
      </c>
      <c r="R6" s="18" t="n">
        <v>49</v>
      </c>
      <c r="S6" s="18" t="n">
        <v>74846</v>
      </c>
      <c r="T6" s="18" t="n">
        <v>5164</v>
      </c>
      <c r="U6" s="18" t="n">
        <v>464</v>
      </c>
      <c r="V6" s="18" t="n">
        <v>46</v>
      </c>
    </row>
    <row r="7">
      <c r="A7" s="4" t="inlineStr">
        <is>
          <t>CNAE</t>
        </is>
      </c>
      <c r="B7" s="5" t="n">
        <v>142</v>
      </c>
      <c r="C7" s="13" t="inlineStr">
        <is>
          <t>Fabricação de artigos de malharia e tricotagem</t>
        </is>
      </c>
      <c r="D7" s="23" t="n">
        <v>28842</v>
      </c>
      <c r="E7" s="23" t="n">
        <v>26821</v>
      </c>
      <c r="F7" s="18" t="n">
        <v>26451</v>
      </c>
      <c r="G7" s="19" t="n">
        <v>27410</v>
      </c>
      <c r="H7" s="18" t="n">
        <v>-1653</v>
      </c>
      <c r="I7" s="18" t="n">
        <v>-645</v>
      </c>
      <c r="J7" s="18" t="n">
        <v>1009</v>
      </c>
      <c r="K7" s="19" t="n"/>
      <c r="L7" s="19" t="n"/>
      <c r="M7" s="19" t="n"/>
      <c r="N7" s="19" t="n"/>
      <c r="O7" s="18" t="n">
        <v>2166</v>
      </c>
      <c r="P7" s="18" t="n">
        <v>132</v>
      </c>
      <c r="Q7" s="18" t="n">
        <v>25</v>
      </c>
      <c r="R7" s="18" t="n">
        <v>7</v>
      </c>
      <c r="S7" s="18" t="n">
        <v>2295</v>
      </c>
      <c r="T7" s="18" t="n">
        <v>131</v>
      </c>
      <c r="U7" s="18" t="n">
        <v>22</v>
      </c>
      <c r="V7" s="18" t="n">
        <v>7</v>
      </c>
    </row>
    <row r="8" ht="30" customHeight="1">
      <c r="A8" s="4" t="inlineStr">
        <is>
          <t>CNAE</t>
        </is>
      </c>
      <c r="B8" s="5" t="n">
        <v>152</v>
      </c>
      <c r="C8" s="13" t="inlineStr">
        <is>
          <t>Fabricação de artigos para viagem e de artefatos diversos de couro</t>
        </is>
      </c>
      <c r="D8" s="23" t="n">
        <v>21596</v>
      </c>
      <c r="E8" s="23" t="n">
        <v>21856</v>
      </c>
      <c r="F8" s="18" t="n">
        <v>21000</v>
      </c>
      <c r="G8" s="19" t="n">
        <v>22256</v>
      </c>
      <c r="H8" s="18" t="n">
        <v>-696</v>
      </c>
      <c r="I8" s="18" t="n">
        <v>16</v>
      </c>
      <c r="J8" s="18" t="n">
        <v>473</v>
      </c>
      <c r="K8" s="19" t="n"/>
      <c r="L8" s="19" t="n"/>
      <c r="M8" s="19" t="n"/>
      <c r="N8" s="19" t="n"/>
      <c r="O8" s="18" t="n">
        <v>3515</v>
      </c>
      <c r="P8" s="18" t="n">
        <v>196</v>
      </c>
      <c r="Q8" s="18" t="n">
        <v>18</v>
      </c>
      <c r="R8" s="18" t="n">
        <v>4</v>
      </c>
      <c r="S8" s="18" t="n">
        <v>3809</v>
      </c>
      <c r="T8" s="18" t="n">
        <v>185</v>
      </c>
      <c r="U8" s="18" t="n">
        <v>20</v>
      </c>
      <c r="V8" s="18" t="n">
        <v>3</v>
      </c>
    </row>
    <row r="9">
      <c r="A9" s="4" t="inlineStr">
        <is>
          <t>CNAE</t>
        </is>
      </c>
      <c r="B9" s="5" t="n">
        <v>153</v>
      </c>
      <c r="C9" s="13" t="inlineStr">
        <is>
          <t>Fabricação de calçados</t>
        </is>
      </c>
      <c r="D9" s="23" t="n">
        <v>277831</v>
      </c>
      <c r="E9" s="23" t="n">
        <v>259081</v>
      </c>
      <c r="F9" s="18" t="n">
        <v>255488</v>
      </c>
      <c r="G9" s="19" t="n">
        <v>268587</v>
      </c>
      <c r="H9" s="18" t="n">
        <v>-19302</v>
      </c>
      <c r="I9" s="18" t="n">
        <v>1520</v>
      </c>
      <c r="J9" s="18" t="n">
        <v>11673</v>
      </c>
      <c r="K9" s="19" t="n"/>
      <c r="L9" s="19" t="n"/>
      <c r="M9" s="19" t="n"/>
      <c r="N9" s="19" t="n"/>
      <c r="O9" s="18" t="n">
        <v>7469</v>
      </c>
      <c r="P9" s="18" t="n">
        <v>975</v>
      </c>
      <c r="Q9" s="18" t="n">
        <v>260</v>
      </c>
      <c r="R9" s="18" t="n">
        <v>83</v>
      </c>
      <c r="S9" s="18" t="n">
        <v>7842</v>
      </c>
      <c r="T9" s="18" t="n">
        <v>983</v>
      </c>
      <c r="U9" s="18" t="n">
        <v>262</v>
      </c>
      <c r="V9" s="18" t="n">
        <v>78</v>
      </c>
    </row>
    <row r="10" ht="30" customHeight="1">
      <c r="A10" s="4" t="inlineStr">
        <is>
          <t>CNAE</t>
        </is>
      </c>
      <c r="B10" s="5" t="n">
        <v>154</v>
      </c>
      <c r="C10" s="13" t="inlineStr">
        <is>
          <t>Fabricação de partes para calçados, de qualquer material</t>
        </is>
      </c>
      <c r="D10" s="23" t="n">
        <v>23505</v>
      </c>
      <c r="E10" s="23" t="n">
        <v>21459</v>
      </c>
      <c r="F10" s="18" t="n">
        <v>22142</v>
      </c>
      <c r="G10" s="19" t="n">
        <v>23802</v>
      </c>
      <c r="H10" s="18" t="n">
        <v>-1492</v>
      </c>
      <c r="I10" s="18" t="n">
        <v>179</v>
      </c>
      <c r="J10" s="18" t="n">
        <v>1988</v>
      </c>
      <c r="K10" s="19" t="n"/>
      <c r="L10" s="19" t="n"/>
      <c r="M10" s="19" t="n"/>
      <c r="N10" s="19" t="n"/>
      <c r="O10" s="18" t="n">
        <v>1671</v>
      </c>
      <c r="P10" s="18" t="n">
        <v>255</v>
      </c>
      <c r="Q10" s="18" t="n">
        <v>26</v>
      </c>
      <c r="R10" s="18" t="n">
        <v>0</v>
      </c>
      <c r="S10" s="18" t="n">
        <v>1813</v>
      </c>
      <c r="T10" s="18" t="n">
        <v>237</v>
      </c>
      <c r="U10" s="18" t="n">
        <v>27</v>
      </c>
      <c r="V10" s="18" t="n">
        <v>3</v>
      </c>
    </row>
    <row r="11" ht="30" customHeight="1">
      <c r="A11" s="4" t="inlineStr">
        <is>
          <t>CNAE</t>
        </is>
      </c>
      <c r="B11" s="5" t="n">
        <v>162</v>
      </c>
      <c r="C11" s="13" t="inlineStr">
        <is>
          <t>Fabricação de produtos de madeira, cortiça e material trançado, exceto móveis</t>
        </is>
      </c>
      <c r="D11" s="23" t="n">
        <v>104545</v>
      </c>
      <c r="E11" s="23" t="n">
        <v>103622</v>
      </c>
      <c r="F11" s="18" t="n">
        <v>106508</v>
      </c>
      <c r="G11" s="19" t="n">
        <v>106113</v>
      </c>
      <c r="H11" s="18" t="n">
        <v>-1274</v>
      </c>
      <c r="I11" s="18" t="n">
        <v>2645</v>
      </c>
      <c r="J11" s="18" t="n">
        <v>620</v>
      </c>
      <c r="K11" s="19" t="n"/>
      <c r="L11" s="19" t="n"/>
      <c r="M11" s="19" t="n"/>
      <c r="N11" s="19" t="n"/>
      <c r="O11" s="18" t="n">
        <v>11035</v>
      </c>
      <c r="P11" s="18" t="n">
        <v>785</v>
      </c>
      <c r="Q11" s="18" t="n">
        <v>141</v>
      </c>
      <c r="R11" s="18" t="n">
        <v>14</v>
      </c>
      <c r="S11" s="18" t="n">
        <v>11962</v>
      </c>
      <c r="T11" s="18" t="n">
        <v>803</v>
      </c>
      <c r="U11" s="18" t="n">
        <v>140</v>
      </c>
      <c r="V11" s="18" t="n">
        <v>18</v>
      </c>
    </row>
    <row r="12">
      <c r="A12" s="4" t="inlineStr">
        <is>
          <t>CNAE</t>
        </is>
      </c>
      <c r="B12" s="5" t="n">
        <v>181</v>
      </c>
      <c r="C12" s="13" t="inlineStr">
        <is>
          <t>Atividade de impressão</t>
        </is>
      </c>
      <c r="D12" s="23" t="n">
        <v>76700</v>
      </c>
      <c r="E12" s="23" t="n">
        <v>79864</v>
      </c>
      <c r="F12" s="18" t="n">
        <v>84195</v>
      </c>
      <c r="G12" s="19" t="n">
        <v>86737</v>
      </c>
      <c r="H12" s="18" t="n">
        <v>2395</v>
      </c>
      <c r="I12" s="18" t="n">
        <v>4083</v>
      </c>
      <c r="J12" s="18" t="n">
        <v>2094</v>
      </c>
      <c r="K12" s="19" t="n"/>
      <c r="L12" s="19" t="n"/>
      <c r="M12" s="19" t="n"/>
      <c r="N12" s="19" t="n"/>
      <c r="O12" s="18" t="n">
        <v>18180</v>
      </c>
      <c r="P12" s="18" t="n">
        <v>533</v>
      </c>
      <c r="Q12" s="18" t="n">
        <v>78</v>
      </c>
      <c r="R12" s="18" t="n">
        <v>5</v>
      </c>
      <c r="S12" s="18" t="n">
        <v>20254</v>
      </c>
      <c r="T12" s="18" t="n">
        <v>547</v>
      </c>
      <c r="U12" s="18" t="n">
        <v>81</v>
      </c>
      <c r="V12" s="18" t="n">
        <v>6</v>
      </c>
    </row>
    <row r="13" ht="30" customHeight="1">
      <c r="A13" s="4" t="inlineStr">
        <is>
          <t>CNAE</t>
        </is>
      </c>
      <c r="B13" s="5" t="n">
        <v>183</v>
      </c>
      <c r="C13" s="13" t="inlineStr">
        <is>
          <t>Reprodução de materiais gravados em qualquer suporte</t>
        </is>
      </c>
      <c r="D13" s="23" t="n">
        <v>1488</v>
      </c>
      <c r="E13" s="23" t="n">
        <v>1414</v>
      </c>
      <c r="F13" s="18" t="n">
        <v>1474</v>
      </c>
      <c r="G13" s="19" t="n">
        <v>1665</v>
      </c>
      <c r="H13" s="18" t="n">
        <v>63</v>
      </c>
      <c r="I13" s="18" t="n">
        <v>36</v>
      </c>
      <c r="J13" s="18" t="n">
        <v>161</v>
      </c>
      <c r="K13" s="19" t="n"/>
      <c r="L13" s="19" t="n"/>
      <c r="M13" s="19" t="n"/>
      <c r="N13" s="19" t="n"/>
      <c r="O13" s="18" t="n">
        <v>872</v>
      </c>
      <c r="P13" s="18" t="n">
        <v>16</v>
      </c>
      <c r="Q13" s="18" t="n">
        <v>2</v>
      </c>
      <c r="R13" s="18" t="n">
        <v>0</v>
      </c>
      <c r="S13" s="18" t="n">
        <v>1032</v>
      </c>
      <c r="T13" s="18" t="n">
        <v>18</v>
      </c>
      <c r="U13" s="18" t="n">
        <v>2</v>
      </c>
      <c r="V13" s="18" t="n">
        <v>0</v>
      </c>
    </row>
    <row r="14">
      <c r="A14" s="4" t="inlineStr">
        <is>
          <t>CNAE</t>
        </is>
      </c>
      <c r="B14" s="5" t="n">
        <v>221</v>
      </c>
      <c r="C14" s="13" t="inlineStr">
        <is>
          <t>Fabricação de produtos de borracha</t>
        </is>
      </c>
      <c r="D14" s="23" t="n">
        <v>96646</v>
      </c>
      <c r="E14" s="23" t="n">
        <v>96144</v>
      </c>
      <c r="F14" s="18" t="n">
        <v>98996</v>
      </c>
      <c r="G14" s="19" t="n">
        <v>99497</v>
      </c>
      <c r="H14" s="18" t="n">
        <v>-67</v>
      </c>
      <c r="I14" s="18" t="n">
        <v>2586</v>
      </c>
      <c r="J14" s="18" t="n">
        <v>1482</v>
      </c>
      <c r="K14" s="19" t="n"/>
      <c r="L14" s="19" t="n"/>
      <c r="M14" s="19" t="n"/>
      <c r="N14" s="19" t="n"/>
      <c r="O14" s="18" t="n">
        <v>3169</v>
      </c>
      <c r="P14" s="18" t="n">
        <v>566</v>
      </c>
      <c r="Q14" s="18" t="n">
        <v>96</v>
      </c>
      <c r="R14" s="18" t="n">
        <v>31</v>
      </c>
      <c r="S14" s="18" t="n">
        <v>3303</v>
      </c>
      <c r="T14" s="18" t="n">
        <v>561</v>
      </c>
      <c r="U14" s="18" t="n">
        <v>99</v>
      </c>
      <c r="V14" s="18" t="n">
        <v>32</v>
      </c>
    </row>
    <row r="15">
      <c r="A15" s="4" t="inlineStr">
        <is>
          <t>CNAE</t>
        </is>
      </c>
      <c r="B15" s="5" t="n">
        <v>231</v>
      </c>
      <c r="C15" s="13" t="inlineStr">
        <is>
          <t>Fabricação de vidro e de produtos do vidro</t>
        </is>
      </c>
      <c r="D15" s="23" t="n">
        <v>46115</v>
      </c>
      <c r="E15" s="23" t="n">
        <v>46224</v>
      </c>
      <c r="F15" s="18" t="n">
        <v>47584</v>
      </c>
      <c r="G15" s="19" t="n">
        <v>48593</v>
      </c>
      <c r="H15" s="18" t="n">
        <v>61</v>
      </c>
      <c r="I15" s="18" t="n">
        <v>926</v>
      </c>
      <c r="J15" s="18" t="n">
        <v>1490</v>
      </c>
      <c r="K15" s="19" t="n"/>
      <c r="L15" s="19" t="n"/>
      <c r="M15" s="19" t="n"/>
      <c r="N15" s="19" t="n"/>
      <c r="O15" s="18" t="n">
        <v>1514</v>
      </c>
      <c r="P15" s="18" t="n">
        <v>338</v>
      </c>
      <c r="Q15" s="18" t="n">
        <v>73</v>
      </c>
      <c r="R15" s="18" t="n">
        <v>10</v>
      </c>
      <c r="S15" s="18" t="n">
        <v>1643</v>
      </c>
      <c r="T15" s="18" t="n">
        <v>322</v>
      </c>
      <c r="U15" s="18" t="n">
        <v>75</v>
      </c>
      <c r="V15" s="18" t="n">
        <v>12</v>
      </c>
    </row>
    <row r="16" ht="30" customHeight="1">
      <c r="A16" s="4" t="inlineStr">
        <is>
          <t>CNAE</t>
        </is>
      </c>
      <c r="B16" s="5" t="n">
        <v>252</v>
      </c>
      <c r="C16" s="13" t="inlineStr">
        <is>
          <t>Fabricação de tanques, reservatórios metálicos e caldeiras</t>
        </is>
      </c>
      <c r="D16" s="23" t="n">
        <v>10789</v>
      </c>
      <c r="E16" s="23" t="n">
        <v>11548</v>
      </c>
      <c r="F16" s="18" t="n">
        <v>11560</v>
      </c>
      <c r="G16" s="19" t="n">
        <v>11744</v>
      </c>
      <c r="H16" s="18" t="n">
        <v>535</v>
      </c>
      <c r="I16" s="18" t="n">
        <v>46</v>
      </c>
      <c r="J16" s="18" t="n">
        <v>251</v>
      </c>
      <c r="K16" s="19" t="n"/>
      <c r="L16" s="19" t="n"/>
      <c r="M16" s="19" t="n"/>
      <c r="N16" s="19" t="n"/>
      <c r="O16" s="18" t="n">
        <v>679</v>
      </c>
      <c r="P16" s="18" t="n">
        <v>90</v>
      </c>
      <c r="Q16" s="18" t="n">
        <v>23</v>
      </c>
      <c r="R16" s="18" t="n">
        <v>1</v>
      </c>
      <c r="S16" s="18" t="n">
        <v>692</v>
      </c>
      <c r="T16" s="18" t="n">
        <v>92</v>
      </c>
      <c r="U16" s="18" t="n">
        <v>25</v>
      </c>
      <c r="V16" s="18" t="n">
        <v>1</v>
      </c>
    </row>
    <row r="17" ht="30" customHeight="1">
      <c r="A17" s="4" t="inlineStr">
        <is>
          <t>CNAE</t>
        </is>
      </c>
      <c r="B17" s="5" t="n">
        <v>254</v>
      </c>
      <c r="C17" s="13" t="inlineStr">
        <is>
          <t>Fabricação de artigos de cutelaria, de serralheria e ferramentas</t>
        </is>
      </c>
      <c r="D17" s="23" t="n">
        <v>66589</v>
      </c>
      <c r="E17" s="23" t="n">
        <v>67662</v>
      </c>
      <c r="F17" s="18" t="n">
        <v>70076</v>
      </c>
      <c r="G17" s="19" t="n">
        <v>71734</v>
      </c>
      <c r="H17" s="18" t="n">
        <v>1552</v>
      </c>
      <c r="I17" s="18" t="n">
        <v>2776</v>
      </c>
      <c r="J17" s="18" t="n">
        <v>1711</v>
      </c>
      <c r="K17" s="19" t="n"/>
      <c r="L17" s="19" t="n"/>
      <c r="M17" s="19" t="n"/>
      <c r="N17" s="19" t="n"/>
      <c r="O17" s="18" t="n">
        <v>15031</v>
      </c>
      <c r="P17" s="18" t="n">
        <v>427</v>
      </c>
      <c r="Q17" s="18" t="n">
        <v>57</v>
      </c>
      <c r="R17" s="18" t="n">
        <v>10</v>
      </c>
      <c r="S17" s="18" t="n">
        <v>17457</v>
      </c>
      <c r="T17" s="18" t="n">
        <v>452</v>
      </c>
      <c r="U17" s="18" t="n">
        <v>58</v>
      </c>
      <c r="V17" s="18" t="n">
        <v>10</v>
      </c>
    </row>
    <row r="18">
      <c r="A18" s="4" t="inlineStr">
        <is>
          <t>CNAE</t>
        </is>
      </c>
      <c r="B18" s="5" t="n">
        <v>261</v>
      </c>
      <c r="C18" s="13" t="inlineStr">
        <is>
          <t>Fabricação de componentes eletrônicos</t>
        </is>
      </c>
      <c r="D18" s="23" t="n">
        <v>31925</v>
      </c>
      <c r="E18" s="23" t="n">
        <v>30337</v>
      </c>
      <c r="F18" s="18" t="n">
        <v>31084</v>
      </c>
      <c r="G18" s="19" t="n">
        <v>31536</v>
      </c>
      <c r="H18" s="18" t="n">
        <v>-2405</v>
      </c>
      <c r="I18" s="18" t="n">
        <v>1321</v>
      </c>
      <c r="J18" s="18" t="n">
        <v>79</v>
      </c>
      <c r="K18" s="19" t="n"/>
      <c r="L18" s="19" t="n"/>
      <c r="M18" s="19" t="n"/>
      <c r="N18" s="19" t="n"/>
      <c r="O18" s="18" t="n">
        <v>1065</v>
      </c>
      <c r="P18" s="18" t="n">
        <v>183</v>
      </c>
      <c r="Q18" s="18" t="n">
        <v>49</v>
      </c>
      <c r="R18" s="18" t="n">
        <v>9</v>
      </c>
      <c r="S18" s="18" t="n">
        <v>1119</v>
      </c>
      <c r="T18" s="18" t="n">
        <v>180</v>
      </c>
      <c r="U18" s="18" t="n">
        <v>49</v>
      </c>
      <c r="V18" s="18" t="n">
        <v>11</v>
      </c>
    </row>
    <row r="19" ht="30" customHeight="1">
      <c r="A19" s="4" t="inlineStr">
        <is>
          <t>CNAE</t>
        </is>
      </c>
      <c r="B19" s="5" t="n">
        <v>262</v>
      </c>
      <c r="C19" s="13" t="inlineStr">
        <is>
          <t>Fabricação de equipamentos de informática e periféricos</t>
        </is>
      </c>
      <c r="D19" s="23" t="n">
        <v>30949</v>
      </c>
      <c r="E19" s="23" t="n">
        <v>27695</v>
      </c>
      <c r="F19" s="18" t="n">
        <v>27567</v>
      </c>
      <c r="G19" s="19" t="n">
        <v>25857</v>
      </c>
      <c r="H19" s="18" t="n">
        <v>-2423</v>
      </c>
      <c r="I19" s="18" t="n">
        <v>-243</v>
      </c>
      <c r="J19" s="18" t="n">
        <v>416</v>
      </c>
      <c r="K19" s="19" t="n"/>
      <c r="L19" s="19" t="n"/>
      <c r="M19" s="19" t="n"/>
      <c r="N19" s="19" t="n"/>
      <c r="O19" s="18" t="n">
        <v>604</v>
      </c>
      <c r="P19" s="18" t="n">
        <v>70</v>
      </c>
      <c r="Q19" s="18" t="n">
        <v>27</v>
      </c>
      <c r="R19" s="18" t="n">
        <v>14</v>
      </c>
      <c r="S19" s="18" t="n">
        <v>629</v>
      </c>
      <c r="T19" s="18" t="n">
        <v>72</v>
      </c>
      <c r="U19" s="18" t="n">
        <v>26</v>
      </c>
      <c r="V19" s="18" t="n">
        <v>15</v>
      </c>
    </row>
    <row r="20">
      <c r="A20" s="4" t="inlineStr">
        <is>
          <t>CNAE</t>
        </is>
      </c>
      <c r="B20" s="5" t="n">
        <v>263</v>
      </c>
      <c r="C20" s="13" t="inlineStr">
        <is>
          <t>Fabricação de equipamentos de comunicação</t>
        </is>
      </c>
      <c r="D20" s="23" t="n">
        <v>18792</v>
      </c>
      <c r="E20" s="23" t="n">
        <v>17651</v>
      </c>
      <c r="F20" s="18" t="n">
        <v>19538</v>
      </c>
      <c r="G20" s="19" t="n">
        <v>18925</v>
      </c>
      <c r="H20" s="18" t="n">
        <v>-1000</v>
      </c>
      <c r="I20" s="18" t="n">
        <v>1728</v>
      </c>
      <c r="J20" s="18" t="n">
        <v>-188</v>
      </c>
      <c r="K20" s="19" t="n"/>
      <c r="L20" s="19" t="n"/>
      <c r="M20" s="19" t="n"/>
      <c r="N20" s="19" t="n"/>
      <c r="O20" s="18" t="n">
        <v>319</v>
      </c>
      <c r="P20" s="18" t="n">
        <v>42</v>
      </c>
      <c r="Q20" s="18" t="n">
        <v>24</v>
      </c>
      <c r="R20" s="18" t="n">
        <v>8</v>
      </c>
      <c r="S20" s="18" t="n">
        <v>315</v>
      </c>
      <c r="T20" s="18" t="n">
        <v>40</v>
      </c>
      <c r="U20" s="18" t="n">
        <v>26</v>
      </c>
      <c r="V20" s="18" t="n">
        <v>8</v>
      </c>
    </row>
    <row r="21" ht="30" customHeight="1">
      <c r="A21" s="4" t="inlineStr">
        <is>
          <t>CNAE</t>
        </is>
      </c>
      <c r="B21" s="5" t="n">
        <v>264</v>
      </c>
      <c r="C21" s="13" t="inlineStr">
        <is>
          <t>Fabricação de aparelhos de recepção, reprodução, gravação e amplificação de áudio e vídeo</t>
        </is>
      </c>
      <c r="D21" s="23" t="n">
        <v>15386</v>
      </c>
      <c r="E21" s="23" t="n">
        <v>15371</v>
      </c>
      <c r="F21" s="18" t="n">
        <v>16611</v>
      </c>
      <c r="G21" s="19" t="n">
        <v>14563</v>
      </c>
      <c r="H21" s="18" t="n">
        <v>-512</v>
      </c>
      <c r="I21" s="18" t="n">
        <v>154</v>
      </c>
      <c r="J21" s="18" t="n">
        <v>-336</v>
      </c>
      <c r="K21" s="19" t="n"/>
      <c r="L21" s="19" t="n"/>
      <c r="M21" s="19" t="n"/>
      <c r="N21" s="19" t="n"/>
      <c r="O21" s="18" t="n">
        <v>392</v>
      </c>
      <c r="P21" s="18" t="n">
        <v>45</v>
      </c>
      <c r="Q21" s="18" t="n">
        <v>20</v>
      </c>
      <c r="R21" s="18" t="n">
        <v>5</v>
      </c>
      <c r="S21" s="18" t="n">
        <v>421</v>
      </c>
      <c r="T21" s="18" t="n">
        <v>50</v>
      </c>
      <c r="U21" s="18" t="n">
        <v>18</v>
      </c>
      <c r="V21" s="18" t="n">
        <v>6</v>
      </c>
    </row>
    <row r="22" ht="30" customHeight="1">
      <c r="A22" s="4" t="inlineStr">
        <is>
          <t>CNAE</t>
        </is>
      </c>
      <c r="B22" s="5" t="n">
        <v>265</v>
      </c>
      <c r="C22" s="13" t="inlineStr">
        <is>
          <t>Fabricação de aparelhos e instrumentos de medida, teste e controle</t>
        </is>
      </c>
      <c r="D22" s="23" t="n">
        <v>22564</v>
      </c>
      <c r="E22" s="23" t="n">
        <v>23329</v>
      </c>
      <c r="F22" s="18" t="n">
        <v>24551</v>
      </c>
      <c r="G22" s="19" t="n">
        <v>26037</v>
      </c>
      <c r="H22" s="18" t="n">
        <v>538</v>
      </c>
      <c r="I22" s="18" t="n">
        <v>1627</v>
      </c>
      <c r="J22" s="18" t="n">
        <v>1334</v>
      </c>
      <c r="K22" s="19" t="n"/>
      <c r="L22" s="19" t="n"/>
      <c r="M22" s="19" t="n"/>
      <c r="N22" s="19" t="n"/>
      <c r="O22" s="18" t="n">
        <v>1356</v>
      </c>
      <c r="P22" s="18" t="n">
        <v>179</v>
      </c>
      <c r="Q22" s="18" t="n">
        <v>42</v>
      </c>
      <c r="R22" s="18" t="n">
        <v>2</v>
      </c>
      <c r="S22" s="18" t="n">
        <v>1409</v>
      </c>
      <c r="T22" s="18" t="n">
        <v>181</v>
      </c>
      <c r="U22" s="18" t="n">
        <v>44</v>
      </c>
      <c r="V22" s="18" t="n">
        <v>2</v>
      </c>
    </row>
    <row r="23" ht="30" customHeight="1">
      <c r="A23" s="4" t="inlineStr">
        <is>
          <t>CNAE</t>
        </is>
      </c>
      <c r="B23" s="5" t="n">
        <v>266</v>
      </c>
      <c r="C23" s="13" t="inlineStr">
        <is>
          <t>Fabricação de aparelhos eletromédicos e eletroterapêuticos e equipamentos de irradiação</t>
        </is>
      </c>
      <c r="D23" s="23" t="n">
        <v>6434</v>
      </c>
      <c r="E23" s="23" t="n">
        <v>6023</v>
      </c>
      <c r="F23" s="18" t="n">
        <v>5803</v>
      </c>
      <c r="G23" s="19" t="n">
        <v>5808</v>
      </c>
      <c r="H23" s="18" t="n">
        <v>-289</v>
      </c>
      <c r="I23" s="18" t="n">
        <v>-115</v>
      </c>
      <c r="J23" s="18" t="n">
        <v>-48</v>
      </c>
      <c r="K23" s="19" t="n"/>
      <c r="L23" s="19" t="n"/>
      <c r="M23" s="19" t="n"/>
      <c r="N23" s="19" t="n"/>
      <c r="O23" s="18" t="n">
        <v>302</v>
      </c>
      <c r="P23" s="18" t="n">
        <v>52</v>
      </c>
      <c r="Q23" s="18" t="n">
        <v>10</v>
      </c>
      <c r="R23" s="18" t="n">
        <v>1</v>
      </c>
      <c r="S23" s="18" t="n">
        <v>306</v>
      </c>
      <c r="T23" s="18" t="n">
        <v>50</v>
      </c>
      <c r="U23" s="18" t="n">
        <v>11</v>
      </c>
      <c r="V23" s="18" t="n">
        <v>0</v>
      </c>
    </row>
    <row r="24" ht="30" customHeight="1">
      <c r="A24" s="4" t="inlineStr">
        <is>
          <t>CNAE</t>
        </is>
      </c>
      <c r="B24" s="5" t="n">
        <v>267</v>
      </c>
      <c r="C24" s="13" t="inlineStr">
        <is>
          <t>Fabricação de equipamentos e instrumentos ópticos, fotográficos e cinematográficos</t>
        </is>
      </c>
      <c r="D24" s="23" t="n">
        <v>754</v>
      </c>
      <c r="E24" s="23" t="n">
        <v>774</v>
      </c>
      <c r="F24" s="18" t="n">
        <v>798</v>
      </c>
      <c r="G24" s="19" t="n">
        <v>772</v>
      </c>
      <c r="H24" s="18" t="n">
        <v>4</v>
      </c>
      <c r="I24" s="18" t="n">
        <v>15</v>
      </c>
      <c r="J24" s="18" t="n">
        <v>-12</v>
      </c>
      <c r="K24" s="19" t="n"/>
      <c r="L24" s="19" t="n"/>
      <c r="M24" s="19" t="n"/>
      <c r="N24" s="19" t="n"/>
      <c r="O24" s="18" t="n">
        <v>96</v>
      </c>
      <c r="P24" s="18" t="n">
        <v>11</v>
      </c>
      <c r="Q24" s="18" t="n">
        <v>0</v>
      </c>
      <c r="R24" s="18" t="n">
        <v>0</v>
      </c>
      <c r="S24" s="18" t="n">
        <v>98</v>
      </c>
      <c r="T24" s="18" t="n">
        <v>13</v>
      </c>
      <c r="U24" s="18" t="n">
        <v>0</v>
      </c>
      <c r="V24" s="18" t="n">
        <v>0</v>
      </c>
    </row>
    <row r="25">
      <c r="A25" s="4" t="inlineStr">
        <is>
          <t>CNAE</t>
        </is>
      </c>
      <c r="B25" s="5" t="n">
        <v>268</v>
      </c>
      <c r="C25" s="13" t="inlineStr">
        <is>
          <t>Fabricação de mídias virgens, magnéticas e ópticas</t>
        </is>
      </c>
      <c r="D25" s="23" t="n">
        <v>9</v>
      </c>
      <c r="E25" s="23" t="n">
        <v>12</v>
      </c>
      <c r="F25" s="18" t="n">
        <v>11</v>
      </c>
      <c r="G25" s="19" t="n">
        <v>7</v>
      </c>
      <c r="H25" s="18" t="n">
        <v>2</v>
      </c>
      <c r="I25" s="18" t="n">
        <v>-2</v>
      </c>
      <c r="J25" s="18" t="n">
        <v>-3</v>
      </c>
      <c r="K25" s="19" t="n"/>
      <c r="L25" s="19" t="n"/>
      <c r="M25" s="19" t="n"/>
      <c r="N25" s="19" t="n"/>
      <c r="O25" s="18" t="n">
        <v>7</v>
      </c>
      <c r="P25" s="18" t="n">
        <v>0</v>
      </c>
      <c r="Q25" s="18" t="n">
        <v>0</v>
      </c>
      <c r="R25" s="18" t="n">
        <v>0</v>
      </c>
      <c r="S25" s="18" t="n">
        <v>7</v>
      </c>
      <c r="T25" s="18" t="n">
        <v>0</v>
      </c>
      <c r="U25" s="18" t="n">
        <v>0</v>
      </c>
      <c r="V25" s="18" t="n">
        <v>0</v>
      </c>
    </row>
    <row r="26" ht="30" customHeight="1">
      <c r="A26" s="4" t="inlineStr">
        <is>
          <t>CNAE</t>
        </is>
      </c>
      <c r="B26" s="5" t="n">
        <v>271</v>
      </c>
      <c r="C26" s="13" t="inlineStr">
        <is>
          <t>Fabricação de geradores, transformadores e motores elétricos</t>
        </is>
      </c>
      <c r="D26" s="23" t="n">
        <v>48971</v>
      </c>
      <c r="E26" s="23" t="n">
        <v>50208</v>
      </c>
      <c r="F26" s="18" t="n">
        <v>52083</v>
      </c>
      <c r="G26" s="19" t="n">
        <v>52187</v>
      </c>
      <c r="H26" s="18" t="n">
        <v>1329</v>
      </c>
      <c r="I26" s="18" t="n">
        <v>1310</v>
      </c>
      <c r="J26" s="18" t="n">
        <v>297</v>
      </c>
      <c r="K26" s="19" t="n"/>
      <c r="L26" s="19" t="n"/>
      <c r="M26" s="19" t="n"/>
      <c r="N26" s="19" t="n"/>
      <c r="O26" s="18" t="n">
        <v>982</v>
      </c>
      <c r="P26" s="18" t="n">
        <v>139</v>
      </c>
      <c r="Q26" s="18" t="n">
        <v>51</v>
      </c>
      <c r="R26" s="18" t="n">
        <v>18</v>
      </c>
      <c r="S26" s="18" t="n">
        <v>1040</v>
      </c>
      <c r="T26" s="18" t="n">
        <v>142</v>
      </c>
      <c r="U26" s="18" t="n">
        <v>52</v>
      </c>
      <c r="V26" s="18" t="n">
        <v>20</v>
      </c>
    </row>
    <row r="27" ht="30" customHeight="1">
      <c r="A27" s="4" t="inlineStr">
        <is>
          <t>CNAE</t>
        </is>
      </c>
      <c r="B27" s="5" t="n">
        <v>272</v>
      </c>
      <c r="C27" s="13" t="inlineStr">
        <is>
          <t>Fabricação de pilhas, baterias e acumuladores elétricos</t>
        </is>
      </c>
      <c r="D27" s="23" t="n">
        <v>10648</v>
      </c>
      <c r="E27" s="23" t="n">
        <v>10681</v>
      </c>
      <c r="F27" s="18" t="n">
        <v>11817</v>
      </c>
      <c r="G27" s="19" t="n">
        <v>12149</v>
      </c>
      <c r="H27" s="18" t="n">
        <v>149</v>
      </c>
      <c r="I27" s="18" t="n">
        <v>1021</v>
      </c>
      <c r="J27" s="18" t="n">
        <v>397</v>
      </c>
      <c r="K27" s="19" t="n"/>
      <c r="L27" s="19" t="n"/>
      <c r="M27" s="19" t="n"/>
      <c r="N27" s="19" t="n"/>
      <c r="O27" s="18" t="n">
        <v>147</v>
      </c>
      <c r="P27" s="18" t="n">
        <v>31</v>
      </c>
      <c r="Q27" s="18" t="n">
        <v>20</v>
      </c>
      <c r="R27" s="18" t="n">
        <v>4</v>
      </c>
      <c r="S27" s="18" t="n">
        <v>146</v>
      </c>
      <c r="T27" s="18" t="n">
        <v>30</v>
      </c>
      <c r="U27" s="18" t="n">
        <v>22</v>
      </c>
      <c r="V27" s="18" t="n">
        <v>6</v>
      </c>
    </row>
    <row r="28" ht="30" customHeight="1">
      <c r="A28" s="4" t="inlineStr">
        <is>
          <t>CNAE</t>
        </is>
      </c>
      <c r="B28" s="5" t="n">
        <v>273</v>
      </c>
      <c r="C28" s="13" t="inlineStr">
        <is>
          <t>Fabricação de equipamentos para distribuição e controle de energia elétrica</t>
        </is>
      </c>
      <c r="D28" s="23" t="n">
        <v>56364</v>
      </c>
      <c r="E28" s="23" t="n">
        <v>57857</v>
      </c>
      <c r="F28" s="18" t="n">
        <v>62331</v>
      </c>
      <c r="G28" s="19" t="n">
        <v>63718</v>
      </c>
      <c r="H28" s="18" t="n">
        <v>1810</v>
      </c>
      <c r="I28" s="18" t="n">
        <v>3504</v>
      </c>
      <c r="J28" s="18" t="n">
        <v>1989</v>
      </c>
      <c r="K28" s="19" t="n"/>
      <c r="L28" s="19" t="n"/>
      <c r="M28" s="19" t="n"/>
      <c r="N28" s="19" t="n"/>
      <c r="O28" s="18" t="n">
        <v>2129</v>
      </c>
      <c r="P28" s="18" t="n">
        <v>324</v>
      </c>
      <c r="Q28" s="18" t="n">
        <v>107</v>
      </c>
      <c r="R28" s="18" t="n">
        <v>16</v>
      </c>
      <c r="S28" s="18" t="n">
        <v>2220</v>
      </c>
      <c r="T28" s="18" t="n">
        <v>333</v>
      </c>
      <c r="U28" s="18" t="n">
        <v>119</v>
      </c>
      <c r="V28" s="18" t="n">
        <v>17</v>
      </c>
    </row>
    <row r="29" ht="30" customHeight="1">
      <c r="A29" s="4" t="inlineStr">
        <is>
          <t>CNAE</t>
        </is>
      </c>
      <c r="B29" s="5" t="n">
        <v>274</v>
      </c>
      <c r="C29" s="13" t="inlineStr">
        <is>
          <t>Fabricação de lâmpadas e outros equipamentos de iluminação</t>
        </is>
      </c>
      <c r="D29" s="23" t="n">
        <v>10893</v>
      </c>
      <c r="E29" s="23" t="n">
        <v>10661</v>
      </c>
      <c r="F29" s="18" t="n">
        <v>10663</v>
      </c>
      <c r="G29" s="19" t="n">
        <v>10299</v>
      </c>
      <c r="H29" s="18" t="n">
        <v>68</v>
      </c>
      <c r="I29" s="18" t="n">
        <v>-236</v>
      </c>
      <c r="J29" s="18" t="n">
        <v>-147</v>
      </c>
      <c r="K29" s="19" t="n"/>
      <c r="L29" s="19" t="n"/>
      <c r="M29" s="19" t="n"/>
      <c r="N29" s="19" t="n"/>
      <c r="O29" s="18" t="n">
        <v>894</v>
      </c>
      <c r="P29" s="18" t="n">
        <v>112</v>
      </c>
      <c r="Q29" s="18" t="n">
        <v>16</v>
      </c>
      <c r="R29" s="18" t="n">
        <v>0</v>
      </c>
      <c r="S29" s="18" t="n">
        <v>926</v>
      </c>
      <c r="T29" s="18" t="n">
        <v>113</v>
      </c>
      <c r="U29" s="18" t="n">
        <v>15</v>
      </c>
      <c r="V29" s="18" t="n">
        <v>0</v>
      </c>
    </row>
    <row r="30">
      <c r="A30" s="4" t="inlineStr">
        <is>
          <t>CNAE</t>
        </is>
      </c>
      <c r="B30" s="5" t="n">
        <v>275</v>
      </c>
      <c r="C30" s="13" t="inlineStr">
        <is>
          <t>Fabricação de eletrodomésticos</t>
        </is>
      </c>
      <c r="D30" s="23" t="n">
        <v>49521</v>
      </c>
      <c r="E30" s="23" t="n">
        <v>49020</v>
      </c>
      <c r="F30" s="18" t="n">
        <v>55255</v>
      </c>
      <c r="G30" s="19" t="n">
        <v>59578</v>
      </c>
      <c r="H30" s="18" t="n">
        <v>525</v>
      </c>
      <c r="I30" s="18" t="n">
        <v>7191</v>
      </c>
      <c r="J30" s="18" t="n">
        <v>2186</v>
      </c>
      <c r="K30" s="19" t="n"/>
      <c r="L30" s="19" t="n"/>
      <c r="M30" s="19" t="n"/>
      <c r="N30" s="19" t="n"/>
      <c r="O30" s="18" t="n">
        <v>476</v>
      </c>
      <c r="P30" s="18" t="n">
        <v>101</v>
      </c>
      <c r="Q30" s="18" t="n">
        <v>42</v>
      </c>
      <c r="R30" s="18" t="n">
        <v>20</v>
      </c>
      <c r="S30" s="18" t="n">
        <v>509</v>
      </c>
      <c r="T30" s="18" t="n">
        <v>90</v>
      </c>
      <c r="U30" s="18" t="n">
        <v>50</v>
      </c>
      <c r="V30" s="18" t="n">
        <v>23</v>
      </c>
    </row>
    <row r="31" ht="30" customHeight="1">
      <c r="A31" s="4" t="inlineStr">
        <is>
          <t>CNAE</t>
        </is>
      </c>
      <c r="B31" s="5" t="n">
        <v>279</v>
      </c>
      <c r="C31" s="13" t="inlineStr">
        <is>
          <t>Fabricação de equipamentos e aparelhos elétricos não especificados anteriormente</t>
        </is>
      </c>
      <c r="D31" s="23" t="n">
        <v>29552</v>
      </c>
      <c r="E31" s="23" t="n">
        <v>30922</v>
      </c>
      <c r="F31" s="18" t="n">
        <v>32653</v>
      </c>
      <c r="G31" s="19" t="n">
        <v>33626</v>
      </c>
      <c r="H31" s="18" t="n">
        <v>472</v>
      </c>
      <c r="I31" s="18" t="n">
        <v>1722</v>
      </c>
      <c r="J31" s="18" t="n">
        <v>1097</v>
      </c>
      <c r="K31" s="19" t="n"/>
      <c r="L31" s="19" t="n"/>
      <c r="M31" s="19" t="n"/>
      <c r="N31" s="19" t="n"/>
      <c r="O31" s="18" t="n">
        <v>1458</v>
      </c>
      <c r="P31" s="18" t="n">
        <v>196</v>
      </c>
      <c r="Q31" s="18" t="n">
        <v>52</v>
      </c>
      <c r="R31" s="18" t="n">
        <v>8</v>
      </c>
      <c r="S31" s="18" t="n">
        <v>1474</v>
      </c>
      <c r="T31" s="18" t="n">
        <v>208</v>
      </c>
      <c r="U31" s="18" t="n">
        <v>55</v>
      </c>
      <c r="V31" s="18" t="n">
        <v>8</v>
      </c>
    </row>
    <row r="32" ht="30" customHeight="1">
      <c r="A32" s="4" t="inlineStr">
        <is>
          <t>CNAE</t>
        </is>
      </c>
      <c r="B32" s="5" t="n">
        <v>281</v>
      </c>
      <c r="C32" s="13" t="inlineStr">
        <is>
          <t>Fabricação de motores, bombas, compressores e equipamentos de transmissão</t>
        </is>
      </c>
      <c r="D32" s="23" t="n">
        <v>58417</v>
      </c>
      <c r="E32" s="23" t="n">
        <v>57255</v>
      </c>
      <c r="F32" s="18" t="n">
        <v>60235</v>
      </c>
      <c r="G32" s="19" t="n">
        <v>61767</v>
      </c>
      <c r="H32" s="18" t="n">
        <v>-384</v>
      </c>
      <c r="I32" s="18" t="n">
        <v>2874</v>
      </c>
      <c r="J32" s="18" t="n">
        <v>1557</v>
      </c>
      <c r="K32" s="19" t="n"/>
      <c r="L32" s="19" t="n"/>
      <c r="M32" s="19" t="n"/>
      <c r="N32" s="19" t="n"/>
      <c r="O32" s="18" t="n">
        <v>1486</v>
      </c>
      <c r="P32" s="18" t="n">
        <v>278</v>
      </c>
      <c r="Q32" s="18" t="n">
        <v>101</v>
      </c>
      <c r="R32" s="18" t="n">
        <v>16</v>
      </c>
      <c r="S32" s="18" t="n">
        <v>1564</v>
      </c>
      <c r="T32" s="18" t="n">
        <v>268</v>
      </c>
      <c r="U32" s="18" t="n">
        <v>106</v>
      </c>
      <c r="V32" s="18" t="n">
        <v>19</v>
      </c>
    </row>
    <row r="33">
      <c r="A33" s="4" t="inlineStr">
        <is>
          <t>CNAE</t>
        </is>
      </c>
      <c r="B33" s="5" t="n">
        <v>282</v>
      </c>
      <c r="C33" s="13" t="inlineStr">
        <is>
          <t>Fabricação de máquinas e equipamentos de uso geral</t>
        </is>
      </c>
      <c r="D33" s="23" t="n">
        <v>111695</v>
      </c>
      <c r="E33" s="23" t="n">
        <v>115404</v>
      </c>
      <c r="F33" s="18" t="n">
        <v>120911</v>
      </c>
      <c r="G33" s="19" t="n">
        <v>125364</v>
      </c>
      <c r="H33" s="18" t="n">
        <v>2786</v>
      </c>
      <c r="I33" s="18" t="n">
        <v>5807</v>
      </c>
      <c r="J33" s="18" t="n">
        <v>4138</v>
      </c>
      <c r="K33" s="19" t="n"/>
      <c r="L33" s="19" t="n"/>
      <c r="M33" s="19" t="n"/>
      <c r="N33" s="19" t="n"/>
      <c r="O33" s="18" t="n">
        <v>6217</v>
      </c>
      <c r="P33" s="18" t="n">
        <v>956</v>
      </c>
      <c r="Q33" s="18" t="n">
        <v>181</v>
      </c>
      <c r="R33" s="18" t="n">
        <v>22</v>
      </c>
      <c r="S33" s="18" t="n">
        <v>6464</v>
      </c>
      <c r="T33" s="18" t="n">
        <v>959</v>
      </c>
      <c r="U33" s="18" t="n">
        <v>200</v>
      </c>
      <c r="V33" s="18" t="n">
        <v>23</v>
      </c>
    </row>
    <row r="34" ht="30" customHeight="1">
      <c r="A34" s="4" t="inlineStr">
        <is>
          <t>CNAE</t>
        </is>
      </c>
      <c r="B34" s="5" t="n">
        <v>283</v>
      </c>
      <c r="C34" s="13" t="inlineStr">
        <is>
          <t>Fabricação de tratores e de máquinas e equipamentos para a agricultura e pecuária</t>
        </is>
      </c>
      <c r="D34" s="23" t="n">
        <v>100639</v>
      </c>
      <c r="E34" s="23" t="n">
        <v>97901</v>
      </c>
      <c r="F34" s="18" t="n">
        <v>95559</v>
      </c>
      <c r="G34" s="19" t="n">
        <v>102996</v>
      </c>
      <c r="H34" s="18" t="n">
        <v>-3356</v>
      </c>
      <c r="I34" s="18" t="n">
        <v>-1310</v>
      </c>
      <c r="J34" s="18" t="n">
        <v>7163</v>
      </c>
      <c r="K34" s="19" t="n"/>
      <c r="L34" s="19" t="n"/>
      <c r="M34" s="19" t="n"/>
      <c r="N34" s="19" t="n"/>
      <c r="O34" s="18" t="n">
        <v>2718</v>
      </c>
      <c r="P34" s="18" t="n">
        <v>423</v>
      </c>
      <c r="Q34" s="18" t="n">
        <v>129</v>
      </c>
      <c r="R34" s="18" t="n">
        <v>36</v>
      </c>
      <c r="S34" s="18" t="n">
        <v>2911</v>
      </c>
      <c r="T34" s="18" t="n">
        <v>412</v>
      </c>
      <c r="U34" s="18" t="n">
        <v>130</v>
      </c>
      <c r="V34" s="18" t="n">
        <v>34</v>
      </c>
    </row>
    <row r="35">
      <c r="A35" s="4" t="inlineStr">
        <is>
          <t>CNAE</t>
        </is>
      </c>
      <c r="B35" s="5" t="n">
        <v>284</v>
      </c>
      <c r="C35" s="13" t="inlineStr">
        <is>
          <t>Fabricação de máquinas-ferramenta</t>
        </is>
      </c>
      <c r="D35" s="23" t="n">
        <v>19350</v>
      </c>
      <c r="E35" s="23" t="n">
        <v>18262</v>
      </c>
      <c r="F35" s="18" t="n">
        <v>18212</v>
      </c>
      <c r="G35" s="19" t="n">
        <v>19506</v>
      </c>
      <c r="H35" s="18" t="n">
        <v>-800</v>
      </c>
      <c r="I35" s="18" t="n">
        <v>110</v>
      </c>
      <c r="J35" s="18" t="n">
        <v>1084</v>
      </c>
      <c r="K35" s="19" t="n"/>
      <c r="L35" s="19" t="n"/>
      <c r="M35" s="19" t="n"/>
      <c r="N35" s="19" t="n"/>
      <c r="O35" s="18" t="n">
        <v>1402</v>
      </c>
      <c r="P35" s="18" t="n">
        <v>144</v>
      </c>
      <c r="Q35" s="18" t="n">
        <v>17</v>
      </c>
      <c r="R35" s="18" t="n">
        <v>3</v>
      </c>
      <c r="S35" s="18" t="n">
        <v>1452</v>
      </c>
      <c r="T35" s="18" t="n">
        <v>141</v>
      </c>
      <c r="U35" s="18" t="n">
        <v>13</v>
      </c>
      <c r="V35" s="18" t="n">
        <v>4</v>
      </c>
    </row>
    <row r="36" ht="30" customHeight="1">
      <c r="A36" s="4" t="inlineStr">
        <is>
          <t>CNAE</t>
        </is>
      </c>
      <c r="B36" s="5" t="n">
        <v>285</v>
      </c>
      <c r="C36" s="13" t="inlineStr">
        <is>
          <t>Fabricação de máquinas e equipamentos de uso na extração mineral e na construção</t>
        </is>
      </c>
      <c r="D36" s="23" t="n">
        <v>29895</v>
      </c>
      <c r="E36" s="23" t="n">
        <v>29660</v>
      </c>
      <c r="F36" s="18" t="n">
        <v>30170</v>
      </c>
      <c r="G36" s="19" t="n">
        <v>31897</v>
      </c>
      <c r="H36" s="18" t="n">
        <v>568</v>
      </c>
      <c r="I36" s="18" t="n">
        <v>906</v>
      </c>
      <c r="J36" s="18" t="n">
        <v>994</v>
      </c>
      <c r="K36" s="19" t="n"/>
      <c r="L36" s="19" t="n"/>
      <c r="M36" s="19" t="n"/>
      <c r="N36" s="19" t="n"/>
      <c r="O36" s="18" t="n">
        <v>409</v>
      </c>
      <c r="P36" s="18" t="n">
        <v>64</v>
      </c>
      <c r="Q36" s="18" t="n">
        <v>39</v>
      </c>
      <c r="R36" s="18" t="n">
        <v>16</v>
      </c>
      <c r="S36" s="18" t="n">
        <v>409</v>
      </c>
      <c r="T36" s="18" t="n">
        <v>70</v>
      </c>
      <c r="U36" s="18" t="n">
        <v>35</v>
      </c>
      <c r="V36" s="18" t="n">
        <v>17</v>
      </c>
    </row>
    <row r="37" ht="30" customHeight="1">
      <c r="A37" s="4" t="inlineStr">
        <is>
          <t>CNAE</t>
        </is>
      </c>
      <c r="B37" s="5" t="n">
        <v>286</v>
      </c>
      <c r="C37" s="13" t="inlineStr">
        <is>
          <t>Fabricação de máquinas e equipamentos de uso industrial específico</t>
        </is>
      </c>
      <c r="D37" s="23" t="n">
        <v>82164</v>
      </c>
      <c r="E37" s="23" t="n">
        <v>82054</v>
      </c>
      <c r="F37" s="18" t="n">
        <v>84419</v>
      </c>
      <c r="G37" s="19" t="n">
        <v>86798</v>
      </c>
      <c r="H37" s="18" t="n">
        <v>63</v>
      </c>
      <c r="I37" s="18" t="n">
        <v>2256</v>
      </c>
      <c r="J37" s="18" t="n">
        <v>2505</v>
      </c>
      <c r="K37" s="19" t="n"/>
      <c r="L37" s="19" t="n"/>
      <c r="M37" s="19" t="n"/>
      <c r="N37" s="19" t="n"/>
      <c r="O37" s="18" t="n">
        <v>5529</v>
      </c>
      <c r="P37" s="18" t="n">
        <v>709</v>
      </c>
      <c r="Q37" s="18" t="n">
        <v>144</v>
      </c>
      <c r="R37" s="18" t="n">
        <v>7</v>
      </c>
      <c r="S37" s="18" t="n">
        <v>5804</v>
      </c>
      <c r="T37" s="18" t="n">
        <v>708</v>
      </c>
      <c r="U37" s="18" t="n">
        <v>156</v>
      </c>
      <c r="V37" s="18" t="n">
        <v>7</v>
      </c>
    </row>
    <row r="38">
      <c r="A38" s="4" t="inlineStr">
        <is>
          <t>CNAE</t>
        </is>
      </c>
      <c r="B38" s="5" t="n">
        <v>292</v>
      </c>
      <c r="C38" s="13" t="inlineStr">
        <is>
          <t>Fabricação de caminhões e ônibus</t>
        </is>
      </c>
      <c r="D38" s="23" t="n">
        <v>38697</v>
      </c>
      <c r="E38" s="23" t="n">
        <v>37312</v>
      </c>
      <c r="F38" s="18" t="n">
        <v>40234</v>
      </c>
      <c r="G38" s="19" t="n">
        <v>39312</v>
      </c>
      <c r="H38" s="18" t="n">
        <v>-1487</v>
      </c>
      <c r="I38" s="18" t="n">
        <v>2893</v>
      </c>
      <c r="J38" s="18" t="n">
        <v>-591</v>
      </c>
      <c r="K38" s="19" t="n"/>
      <c r="L38" s="19" t="n"/>
      <c r="M38" s="19" t="n"/>
      <c r="N38" s="19" t="n"/>
      <c r="O38" s="18" t="n">
        <v>27</v>
      </c>
      <c r="P38" s="18" t="n">
        <v>1</v>
      </c>
      <c r="Q38" s="18" t="n">
        <v>10</v>
      </c>
      <c r="R38" s="18" t="n">
        <v>14</v>
      </c>
      <c r="S38" s="18" t="n">
        <v>28</v>
      </c>
      <c r="T38" s="18" t="n">
        <v>3</v>
      </c>
      <c r="U38" s="18" t="n">
        <v>8</v>
      </c>
      <c r="V38" s="18" t="n">
        <v>15</v>
      </c>
    </row>
    <row r="39" ht="30" customHeight="1">
      <c r="A39" s="4" t="inlineStr">
        <is>
          <t>CNAE</t>
        </is>
      </c>
      <c r="B39" s="5" t="n">
        <v>293</v>
      </c>
      <c r="C39" s="13" t="inlineStr">
        <is>
          <t>Fabricação de cabines, carrocerias e reboques para veículos automotores</t>
        </is>
      </c>
      <c r="D39" s="23" t="n">
        <v>46251</v>
      </c>
      <c r="E39" s="23" t="n">
        <v>48432</v>
      </c>
      <c r="F39" s="18" t="n">
        <v>56221</v>
      </c>
      <c r="G39" s="19" t="n">
        <v>50721</v>
      </c>
      <c r="H39" s="18" t="n">
        <v>1808</v>
      </c>
      <c r="I39" s="18" t="n">
        <v>3923</v>
      </c>
      <c r="J39" s="18" t="n">
        <v>-1084</v>
      </c>
      <c r="K39" s="19" t="n"/>
      <c r="L39" s="19" t="n"/>
      <c r="M39" s="19" t="n"/>
      <c r="N39" s="19" t="n"/>
      <c r="O39" s="18" t="n">
        <v>2532</v>
      </c>
      <c r="P39" s="18" t="n">
        <v>222</v>
      </c>
      <c r="Q39" s="18" t="n">
        <v>48</v>
      </c>
      <c r="R39" s="18" t="n">
        <v>17</v>
      </c>
      <c r="S39" s="18" t="n">
        <v>2819</v>
      </c>
      <c r="T39" s="18" t="n">
        <v>265</v>
      </c>
      <c r="U39" s="18" t="n">
        <v>55</v>
      </c>
      <c r="V39" s="18" t="n">
        <v>17</v>
      </c>
    </row>
    <row r="40" ht="30" customHeight="1">
      <c r="A40" s="4" t="inlineStr">
        <is>
          <t>CNAE</t>
        </is>
      </c>
      <c r="B40" s="5" t="n">
        <v>294</v>
      </c>
      <c r="C40" s="13" t="inlineStr">
        <is>
          <t>Fabricação de peças e acessórios para veículos automotores</t>
        </is>
      </c>
      <c r="D40" s="23" t="n">
        <v>275780</v>
      </c>
      <c r="E40" s="23" t="n">
        <v>274243</v>
      </c>
      <c r="F40" s="18" t="n">
        <v>288375</v>
      </c>
      <c r="G40" s="19" t="n">
        <v>300298</v>
      </c>
      <c r="H40" s="18" t="n">
        <v>-3770</v>
      </c>
      <c r="I40" s="18" t="n">
        <v>16138</v>
      </c>
      <c r="J40" s="18" t="n">
        <v>12817</v>
      </c>
      <c r="K40" s="19" t="n"/>
      <c r="L40" s="19" t="n"/>
      <c r="M40" s="19" t="n"/>
      <c r="N40" s="19" t="n"/>
      <c r="O40" s="18" t="n">
        <v>2855</v>
      </c>
      <c r="P40" s="18" t="n">
        <v>655</v>
      </c>
      <c r="Q40" s="18" t="n">
        <v>404</v>
      </c>
      <c r="R40" s="18" t="n">
        <v>135</v>
      </c>
      <c r="S40" s="18" t="n">
        <v>2996</v>
      </c>
      <c r="T40" s="18" t="n">
        <v>663</v>
      </c>
      <c r="U40" s="18" t="n">
        <v>390</v>
      </c>
      <c r="V40" s="18" t="n">
        <v>153</v>
      </c>
    </row>
    <row r="41">
      <c r="A41" s="4" t="inlineStr">
        <is>
          <t>CNAE</t>
        </is>
      </c>
      <c r="B41" s="5" t="n">
        <v>301</v>
      </c>
      <c r="C41" s="13" t="inlineStr">
        <is>
          <t>Construção de embarcações</t>
        </is>
      </c>
      <c r="D41" s="23" t="n">
        <v>27906</v>
      </c>
      <c r="E41" s="23" t="n">
        <v>30938</v>
      </c>
      <c r="F41" s="18" t="n">
        <v>31724</v>
      </c>
      <c r="G41" s="19" t="n">
        <v>35851</v>
      </c>
      <c r="H41" s="18" t="n">
        <v>2130</v>
      </c>
      <c r="I41" s="18" t="n">
        <v>1185</v>
      </c>
      <c r="J41" s="18" t="n">
        <v>4269</v>
      </c>
      <c r="K41" s="19" t="n"/>
      <c r="L41" s="19" t="n"/>
      <c r="M41" s="19" t="n"/>
      <c r="N41" s="19" t="n"/>
      <c r="O41" s="18" t="n">
        <v>714</v>
      </c>
      <c r="P41" s="18" t="n">
        <v>61</v>
      </c>
      <c r="Q41" s="18" t="n">
        <v>19</v>
      </c>
      <c r="R41" s="18" t="n">
        <v>14</v>
      </c>
      <c r="S41" s="18" t="n">
        <v>800</v>
      </c>
      <c r="T41" s="18" t="n">
        <v>62</v>
      </c>
      <c r="U41" s="18" t="n">
        <v>21</v>
      </c>
      <c r="V41" s="18" t="n">
        <v>15</v>
      </c>
    </row>
    <row r="42">
      <c r="A42" s="4" t="inlineStr">
        <is>
          <t>CNAE</t>
        </is>
      </c>
      <c r="B42" s="5" t="n">
        <v>303</v>
      </c>
      <c r="C42" s="13" t="inlineStr">
        <is>
          <t>Fabricação de veículos ferroviários</t>
        </is>
      </c>
      <c r="D42" s="23" t="n">
        <v>3252</v>
      </c>
      <c r="E42" s="23" t="n">
        <v>3871</v>
      </c>
      <c r="F42" s="18" t="n">
        <v>3971</v>
      </c>
      <c r="G42" s="19" t="n">
        <v>4392</v>
      </c>
      <c r="H42" s="18" t="n">
        <v>556</v>
      </c>
      <c r="I42" s="18" t="n">
        <v>214</v>
      </c>
      <c r="J42" s="18" t="n">
        <v>229</v>
      </c>
      <c r="K42" s="19" t="n"/>
      <c r="L42" s="19" t="n"/>
      <c r="M42" s="19" t="n"/>
      <c r="N42" s="19" t="n"/>
      <c r="O42" s="18" t="n">
        <v>58</v>
      </c>
      <c r="P42" s="18" t="n">
        <v>20</v>
      </c>
      <c r="Q42" s="18" t="n">
        <v>3</v>
      </c>
      <c r="R42" s="18" t="n">
        <v>3</v>
      </c>
      <c r="S42" s="18" t="n">
        <v>63</v>
      </c>
      <c r="T42" s="18" t="n">
        <v>16</v>
      </c>
      <c r="U42" s="18" t="n">
        <v>3</v>
      </c>
      <c r="V42" s="18" t="n">
        <v>3</v>
      </c>
    </row>
    <row r="43">
      <c r="A43" s="4" t="inlineStr">
        <is>
          <t>CNAE</t>
        </is>
      </c>
      <c r="B43" s="5" t="n">
        <v>304</v>
      </c>
      <c r="C43" s="13" t="inlineStr">
        <is>
          <t>Fabricação de aeronaves</t>
        </is>
      </c>
      <c r="D43" s="23" t="n">
        <v>17627</v>
      </c>
      <c r="E43" s="23" t="n">
        <v>19798</v>
      </c>
      <c r="F43" s="18" t="n">
        <v>20509</v>
      </c>
      <c r="G43" s="19" t="n">
        <v>22887</v>
      </c>
      <c r="H43" s="18" t="n">
        <v>2240</v>
      </c>
      <c r="I43" s="18" t="n">
        <v>2006</v>
      </c>
      <c r="J43" s="18" t="n">
        <v>909</v>
      </c>
      <c r="K43" s="19" t="n"/>
      <c r="L43" s="19" t="n"/>
      <c r="M43" s="19" t="n"/>
      <c r="N43" s="19" t="n"/>
      <c r="O43" s="18" t="n">
        <v>95</v>
      </c>
      <c r="P43" s="18" t="n">
        <v>14</v>
      </c>
      <c r="Q43" s="18" t="n">
        <v>15</v>
      </c>
      <c r="R43" s="18" t="n">
        <v>5</v>
      </c>
      <c r="S43" s="18" t="n">
        <v>96</v>
      </c>
      <c r="T43" s="18" t="n">
        <v>13</v>
      </c>
      <c r="U43" s="18" t="n">
        <v>13</v>
      </c>
      <c r="V43" s="18" t="n">
        <v>5</v>
      </c>
    </row>
    <row r="44">
      <c r="A44" s="4" t="inlineStr">
        <is>
          <t>CNAE</t>
        </is>
      </c>
      <c r="B44" s="5" t="n">
        <v>305</v>
      </c>
      <c r="C44" s="13" t="inlineStr">
        <is>
          <t>Fabricação de veículos militares de combate</t>
        </is>
      </c>
      <c r="D44" s="23" t="n">
        <v>4</v>
      </c>
      <c r="E44" s="23" t="n">
        <v>1</v>
      </c>
      <c r="F44" s="18" t="n">
        <v>1</v>
      </c>
      <c r="G44" s="19" t="n">
        <v>2</v>
      </c>
      <c r="H44" s="18" t="n">
        <v>-3</v>
      </c>
      <c r="I44" s="18" t="n"/>
      <c r="J44" s="18" t="n">
        <v>1</v>
      </c>
      <c r="K44" s="19" t="n"/>
      <c r="L44" s="19" t="n"/>
      <c r="M44" s="19" t="n"/>
      <c r="N44" s="19" t="n"/>
      <c r="O44" s="18" t="n">
        <v>1</v>
      </c>
      <c r="P44" s="18" t="n">
        <v>0</v>
      </c>
      <c r="Q44" s="18" t="n">
        <v>0</v>
      </c>
      <c r="R44" s="18" t="n">
        <v>0</v>
      </c>
      <c r="S44" s="18" t="n">
        <v>1</v>
      </c>
      <c r="T44" s="18" t="n">
        <v>0</v>
      </c>
      <c r="U44" s="18" t="n">
        <v>0</v>
      </c>
      <c r="V44" s="18" t="n">
        <v>0</v>
      </c>
    </row>
    <row r="45" ht="30" customHeight="1">
      <c r="A45" s="4" t="inlineStr">
        <is>
          <t>CNAE</t>
        </is>
      </c>
      <c r="B45" s="5" t="n">
        <v>309</v>
      </c>
      <c r="C45" s="13" t="inlineStr">
        <is>
          <t>Fabricação de equipamentos de transporte não especificados anteriormente</t>
        </is>
      </c>
      <c r="D45" s="23" t="n">
        <v>29643</v>
      </c>
      <c r="E45" s="23" t="n">
        <v>31519</v>
      </c>
      <c r="F45" s="18" t="n">
        <v>34359</v>
      </c>
      <c r="G45" s="19" t="n">
        <v>35643</v>
      </c>
      <c r="H45" s="18" t="n">
        <v>2439</v>
      </c>
      <c r="I45" s="18" t="n">
        <v>2181</v>
      </c>
      <c r="J45" s="18" t="n">
        <v>1907</v>
      </c>
      <c r="K45" s="19" t="n"/>
      <c r="L45" s="19" t="n"/>
      <c r="M45" s="19" t="n"/>
      <c r="N45" s="19" t="n"/>
      <c r="O45" s="18" t="n">
        <v>1034</v>
      </c>
      <c r="P45" s="18" t="n">
        <v>110</v>
      </c>
      <c r="Q45" s="18" t="n">
        <v>39</v>
      </c>
      <c r="R45" s="18" t="n">
        <v>8</v>
      </c>
      <c r="S45" s="18" t="n">
        <v>1084</v>
      </c>
      <c r="T45" s="18" t="n">
        <v>116</v>
      </c>
      <c r="U45" s="18" t="n">
        <v>46</v>
      </c>
      <c r="V45" s="18" t="n">
        <v>9</v>
      </c>
    </row>
    <row r="46">
      <c r="A46" s="4" t="inlineStr">
        <is>
          <t>CNAE</t>
        </is>
      </c>
      <c r="B46" s="5" t="n">
        <v>323</v>
      </c>
      <c r="C46" s="13" t="inlineStr">
        <is>
          <t>Fabricação de artefatos para pesca e esporte</t>
        </is>
      </c>
      <c r="D46" s="23" t="n">
        <v>4950</v>
      </c>
      <c r="E46" s="23" t="n">
        <v>5512</v>
      </c>
      <c r="F46" s="18" t="n">
        <v>5571</v>
      </c>
      <c r="G46" s="19" t="n">
        <v>6052</v>
      </c>
      <c r="H46" s="18" t="n">
        <v>420</v>
      </c>
      <c r="I46" s="18" t="n">
        <v>278</v>
      </c>
      <c r="J46" s="18" t="n">
        <v>379</v>
      </c>
      <c r="K46" s="19" t="n"/>
      <c r="L46" s="19" t="n"/>
      <c r="M46" s="19" t="n"/>
      <c r="N46" s="19" t="n"/>
      <c r="O46" s="18" t="n">
        <v>779</v>
      </c>
      <c r="P46" s="18" t="n">
        <v>61</v>
      </c>
      <c r="Q46" s="18" t="n">
        <v>5</v>
      </c>
      <c r="R46" s="18" t="n">
        <v>0</v>
      </c>
      <c r="S46" s="18" t="n">
        <v>841</v>
      </c>
      <c r="T46" s="18" t="n">
        <v>69</v>
      </c>
      <c r="U46" s="18" t="n">
        <v>5</v>
      </c>
      <c r="V46" s="18" t="n">
        <v>0</v>
      </c>
    </row>
    <row r="47" ht="30" customHeight="1">
      <c r="A47" s="4" t="inlineStr">
        <is>
          <t>CNAE</t>
        </is>
      </c>
      <c r="B47" s="5" t="n">
        <v>325</v>
      </c>
      <c r="C47" s="13" t="inlineStr">
        <is>
          <t>Fabricação de instrumentos e materiais para uso médico e odontológico e de artigos ópticos</t>
        </is>
      </c>
      <c r="D47" s="23" t="n">
        <v>73431</v>
      </c>
      <c r="E47" s="23" t="n">
        <v>76103</v>
      </c>
      <c r="F47" s="18" t="n">
        <v>79276</v>
      </c>
      <c r="G47" s="19" t="n">
        <v>79625</v>
      </c>
      <c r="H47" s="18" t="n">
        <v>2418</v>
      </c>
      <c r="I47" s="18" t="n">
        <v>2946</v>
      </c>
      <c r="J47" s="18" t="n">
        <v>621</v>
      </c>
      <c r="K47" s="19" t="n"/>
      <c r="L47" s="19" t="n"/>
      <c r="M47" s="19" t="n"/>
      <c r="N47" s="19" t="n"/>
      <c r="O47" s="18" t="n">
        <v>8217</v>
      </c>
      <c r="P47" s="18" t="n">
        <v>470</v>
      </c>
      <c r="Q47" s="18" t="n">
        <v>115</v>
      </c>
      <c r="R47" s="18" t="n">
        <v>13</v>
      </c>
      <c r="S47" s="18" t="n">
        <v>8960</v>
      </c>
      <c r="T47" s="18" t="n">
        <v>463</v>
      </c>
      <c r="U47" s="18" t="n">
        <v>116</v>
      </c>
      <c r="V47" s="18" t="n">
        <v>14</v>
      </c>
    </row>
    <row r="48">
      <c r="A48" s="4" t="inlineStr">
        <is>
          <t>CNAE</t>
        </is>
      </c>
      <c r="B48" s="5" t="n">
        <v>329</v>
      </c>
      <c r="C48" s="13" t="inlineStr">
        <is>
          <t>Fabricação de produtos diversos</t>
        </is>
      </c>
      <c r="D48" s="23" t="n">
        <v>63530</v>
      </c>
      <c r="E48" s="23" t="n">
        <v>63412</v>
      </c>
      <c r="F48" s="18" t="n">
        <v>67058</v>
      </c>
      <c r="G48" s="19" t="n">
        <v>69738</v>
      </c>
      <c r="H48" s="18" t="n">
        <v>375</v>
      </c>
      <c r="I48" s="18" t="n">
        <v>2994</v>
      </c>
      <c r="J48" s="18" t="n">
        <v>2608</v>
      </c>
      <c r="K48" s="19" t="n"/>
      <c r="L48" s="19" t="n"/>
      <c r="M48" s="19" t="n"/>
      <c r="N48" s="19" t="n"/>
      <c r="O48" s="18" t="n">
        <v>12793</v>
      </c>
      <c r="P48" s="18" t="n">
        <v>512</v>
      </c>
      <c r="Q48" s="18" t="n">
        <v>74</v>
      </c>
      <c r="R48" s="18" t="n">
        <v>5</v>
      </c>
      <c r="S48" s="18" t="n">
        <v>14182</v>
      </c>
      <c r="T48" s="18" t="n">
        <v>508</v>
      </c>
      <c r="U48" s="18" t="n">
        <v>90</v>
      </c>
      <c r="V48" s="18" t="n">
        <v>6</v>
      </c>
    </row>
    <row r="49">
      <c r="A49" s="4" t="inlineStr">
        <is>
          <t>CNAE</t>
        </is>
      </c>
      <c r="B49" s="5" t="n">
        <v>381</v>
      </c>
      <c r="C49" s="13" t="inlineStr">
        <is>
          <t>Coleta de resíduos</t>
        </is>
      </c>
      <c r="D49" s="23" t="n">
        <v>187989</v>
      </c>
      <c r="E49" s="23" t="n">
        <v>193332</v>
      </c>
      <c r="F49" s="18" t="n">
        <v>198724</v>
      </c>
      <c r="G49" s="19" t="n">
        <v>204187</v>
      </c>
      <c r="H49" s="18" t="n">
        <v>6057</v>
      </c>
      <c r="I49" s="18" t="n">
        <v>4691</v>
      </c>
      <c r="J49" s="18" t="n">
        <v>6196</v>
      </c>
      <c r="K49" s="19" t="n"/>
      <c r="L49" s="19" t="n"/>
      <c r="M49" s="19" t="n"/>
      <c r="N49" s="19" t="n"/>
      <c r="O49" s="18" t="n">
        <v>7837</v>
      </c>
      <c r="P49" s="18" t="n">
        <v>519</v>
      </c>
      <c r="Q49" s="18" t="n">
        <v>184</v>
      </c>
      <c r="R49" s="18" t="n">
        <v>77</v>
      </c>
      <c r="S49" s="18" t="n">
        <v>8496</v>
      </c>
      <c r="T49" s="18" t="n">
        <v>543</v>
      </c>
      <c r="U49" s="18" t="n">
        <v>185</v>
      </c>
      <c r="V49" s="18" t="n">
        <v>84</v>
      </c>
    </row>
    <row r="50">
      <c r="A50" s="4" t="inlineStr">
        <is>
          <t>CNAE</t>
        </is>
      </c>
      <c r="B50" s="5" t="n">
        <v>383</v>
      </c>
      <c r="C50" s="13" t="inlineStr">
        <is>
          <t>Recuperação de materiais</t>
        </is>
      </c>
      <c r="D50" s="23" t="n">
        <v>42324</v>
      </c>
      <c r="E50" s="23" t="n">
        <v>45124</v>
      </c>
      <c r="F50" s="18" t="n">
        <v>44692</v>
      </c>
      <c r="G50" s="19" t="n">
        <v>46295</v>
      </c>
      <c r="H50" s="18" t="n">
        <v>-224</v>
      </c>
      <c r="I50" s="18" t="n">
        <v>1203</v>
      </c>
      <c r="J50" s="18" t="n">
        <v>2052</v>
      </c>
      <c r="K50" s="19" t="n"/>
      <c r="L50" s="19" t="n"/>
      <c r="M50" s="19" t="n"/>
      <c r="N50" s="19" t="n"/>
      <c r="O50" s="18" t="n">
        <v>7246</v>
      </c>
      <c r="P50" s="18" t="n">
        <v>384</v>
      </c>
      <c r="Q50" s="18" t="n">
        <v>47</v>
      </c>
      <c r="R50" s="18" t="n">
        <v>1</v>
      </c>
      <c r="S50" s="18" t="n">
        <v>7877</v>
      </c>
      <c r="T50" s="18" t="n">
        <v>417</v>
      </c>
      <c r="U50" s="18" t="n">
        <v>46</v>
      </c>
      <c r="V50" s="18" t="n">
        <v>2</v>
      </c>
    </row>
    <row r="51" ht="30" customHeight="1">
      <c r="A51" s="4" t="inlineStr">
        <is>
          <t>CNAE</t>
        </is>
      </c>
      <c r="B51" s="5" t="n">
        <v>461</v>
      </c>
      <c r="C51" s="13" t="inlineStr">
        <is>
          <t>Representantes comerciais e agentes do comércio, exceto de veículos automotores e motocicletas</t>
        </is>
      </c>
      <c r="D51" s="23" t="n">
        <v>64252</v>
      </c>
      <c r="E51" s="23" t="n">
        <v>68487</v>
      </c>
      <c r="F51" s="18" t="n">
        <v>70881</v>
      </c>
      <c r="G51" s="19" t="n">
        <v>75290</v>
      </c>
      <c r="H51" s="18" t="n">
        <v>6126</v>
      </c>
      <c r="I51" s="18" t="n">
        <v>3740</v>
      </c>
      <c r="J51" s="18" t="n">
        <v>3305</v>
      </c>
      <c r="K51" s="19" t="n"/>
      <c r="L51" s="19" t="n"/>
      <c r="M51" s="19" t="n"/>
      <c r="N51" s="19" t="n"/>
      <c r="O51" s="18" t="n">
        <v>172558</v>
      </c>
      <c r="P51" s="18" t="n">
        <v>945</v>
      </c>
      <c r="Q51" s="18" t="n">
        <v>93</v>
      </c>
      <c r="R51" s="18" t="n">
        <v>49</v>
      </c>
      <c r="S51" s="18" t="n">
        <v>188018</v>
      </c>
      <c r="T51" s="18" t="n">
        <v>939</v>
      </c>
      <c r="U51" s="18" t="n">
        <v>105</v>
      </c>
      <c r="V51" s="18" t="n">
        <v>50</v>
      </c>
    </row>
    <row r="52" ht="30" customHeight="1">
      <c r="A52" s="4" t="inlineStr">
        <is>
          <t>CNAE</t>
        </is>
      </c>
      <c r="B52" s="5" t="n">
        <v>464</v>
      </c>
      <c r="C52" s="13" t="inlineStr">
        <is>
          <t>Comércio atacadista de produtos de consumo não-alimentar</t>
        </is>
      </c>
      <c r="D52" s="23" t="n">
        <v>403760</v>
      </c>
      <c r="E52" s="23" t="n">
        <v>417265</v>
      </c>
      <c r="F52" s="18" t="n">
        <v>437893</v>
      </c>
      <c r="G52" s="19" t="n">
        <v>447451</v>
      </c>
      <c r="H52" s="18" t="n">
        <v>14958</v>
      </c>
      <c r="I52" s="18" t="n">
        <v>18085</v>
      </c>
      <c r="J52" s="18" t="n">
        <v>12703</v>
      </c>
      <c r="K52" s="19" t="n"/>
      <c r="L52" s="19" t="n"/>
      <c r="M52" s="19" t="n"/>
      <c r="N52" s="19" t="n"/>
      <c r="O52" s="18" t="n">
        <v>65147</v>
      </c>
      <c r="P52" s="18" t="n">
        <v>6686</v>
      </c>
      <c r="Q52" s="18" t="n">
        <v>726</v>
      </c>
      <c r="R52" s="18" t="n">
        <v>566</v>
      </c>
      <c r="S52" s="18" t="n">
        <v>70697</v>
      </c>
      <c r="T52" s="18" t="n">
        <v>6925</v>
      </c>
      <c r="U52" s="18" t="n">
        <v>792</v>
      </c>
      <c r="V52" s="18" t="n">
        <v>571</v>
      </c>
    </row>
    <row r="53" ht="30" customHeight="1">
      <c r="A53" s="4" t="inlineStr">
        <is>
          <t>CNAE</t>
        </is>
      </c>
      <c r="B53" s="5" t="n">
        <v>465</v>
      </c>
      <c r="C53" s="13" t="inlineStr">
        <is>
          <t>Comércio atacadista de equipamentos e produtos de tecnologias de informação e comunicação</t>
        </is>
      </c>
      <c r="D53" s="23" t="n">
        <v>39075</v>
      </c>
      <c r="E53" s="23" t="n">
        <v>40305</v>
      </c>
      <c r="F53" s="18" t="n">
        <v>40140</v>
      </c>
      <c r="G53" s="19" t="n">
        <v>41912</v>
      </c>
      <c r="H53" s="18" t="n">
        <v>1205</v>
      </c>
      <c r="I53" s="18" t="n">
        <v>641</v>
      </c>
      <c r="J53" s="18" t="n">
        <v>524</v>
      </c>
      <c r="K53" s="19" t="n"/>
      <c r="L53" s="19" t="n"/>
      <c r="M53" s="19" t="n"/>
      <c r="N53" s="19" t="n"/>
      <c r="O53" s="18" t="n">
        <v>5918</v>
      </c>
      <c r="P53" s="18" t="n">
        <v>569</v>
      </c>
      <c r="Q53" s="18" t="n">
        <v>77</v>
      </c>
      <c r="R53" s="18" t="n">
        <v>62</v>
      </c>
      <c r="S53" s="18" t="n">
        <v>6512</v>
      </c>
      <c r="T53" s="18" t="n">
        <v>569</v>
      </c>
      <c r="U53" s="18" t="n">
        <v>79</v>
      </c>
      <c r="V53" s="18" t="n">
        <v>54</v>
      </c>
    </row>
    <row r="54" ht="45" customHeight="1">
      <c r="A54" s="4" t="inlineStr">
        <is>
          <t>CNAE</t>
        </is>
      </c>
      <c r="B54" s="5" t="n">
        <v>466</v>
      </c>
      <c r="C54" s="13" t="inlineStr">
        <is>
          <t>Comércio atacadista de máquinas, aparelhos e equipamentos, exceto de tecnologias de informação e comunicação</t>
        </is>
      </c>
      <c r="D54" s="23" t="n">
        <v>161186</v>
      </c>
      <c r="E54" s="23" t="n">
        <v>170846</v>
      </c>
      <c r="F54" s="18" t="n">
        <v>177882</v>
      </c>
      <c r="G54" s="19" t="n">
        <v>182986</v>
      </c>
      <c r="H54" s="18" t="n">
        <v>10913</v>
      </c>
      <c r="I54" s="18" t="n">
        <v>6493</v>
      </c>
      <c r="J54" s="18" t="n">
        <v>5114</v>
      </c>
      <c r="K54" s="19" t="n"/>
      <c r="L54" s="19" t="n"/>
      <c r="M54" s="19" t="n"/>
      <c r="N54" s="19" t="n"/>
      <c r="O54" s="18" t="n">
        <v>26023</v>
      </c>
      <c r="P54" s="18" t="n">
        <v>3467</v>
      </c>
      <c r="Q54" s="18" t="n">
        <v>392</v>
      </c>
      <c r="R54" s="18" t="n">
        <v>168</v>
      </c>
      <c r="S54" s="18" t="n">
        <v>28261</v>
      </c>
      <c r="T54" s="18" t="n">
        <v>3611</v>
      </c>
      <c r="U54" s="18" t="n">
        <v>387</v>
      </c>
      <c r="V54" s="18" t="n">
        <v>191</v>
      </c>
    </row>
    <row r="55">
      <c r="A55" s="4" t="inlineStr">
        <is>
          <t>CNAE</t>
        </is>
      </c>
      <c r="B55" s="5" t="n">
        <v>468</v>
      </c>
      <c r="C55" s="13" t="inlineStr">
        <is>
          <t>Comércio atacadista especializado em outros produtos</t>
        </is>
      </c>
      <c r="D55" s="23" t="n">
        <v>270921</v>
      </c>
      <c r="E55" s="23" t="n">
        <v>279484</v>
      </c>
      <c r="F55" s="18" t="n">
        <v>286302</v>
      </c>
      <c r="G55" s="19" t="n">
        <v>292663</v>
      </c>
      <c r="H55" s="18" t="n">
        <v>8053</v>
      </c>
      <c r="I55" s="18" t="n">
        <v>6908</v>
      </c>
      <c r="J55" s="18" t="n">
        <v>7191</v>
      </c>
      <c r="K55" s="19" t="n"/>
      <c r="L55" s="19" t="n"/>
      <c r="M55" s="19" t="n"/>
      <c r="N55" s="19" t="n"/>
      <c r="O55" s="18" t="n">
        <v>43557</v>
      </c>
      <c r="P55" s="18" t="n">
        <v>6181</v>
      </c>
      <c r="Q55" s="18" t="n">
        <v>527</v>
      </c>
      <c r="R55" s="18" t="n">
        <v>284</v>
      </c>
      <c r="S55" s="18" t="n">
        <v>47271</v>
      </c>
      <c r="T55" s="18" t="n">
        <v>6156</v>
      </c>
      <c r="U55" s="18" t="n">
        <v>551</v>
      </c>
      <c r="V55" s="18" t="n">
        <v>296</v>
      </c>
    </row>
    <row r="56" ht="45" customHeight="1">
      <c r="A56" s="4" t="inlineStr">
        <is>
          <t>CNAE</t>
        </is>
      </c>
      <c r="B56" s="5" t="n">
        <v>475</v>
      </c>
      <c r="C56" s="13" t="inlineStr">
        <is>
          <t>Comércio varejista de equipamentos de informática e comunicação; equipamentos e artigos de uso doméstico</t>
        </is>
      </c>
      <c r="D56" s="23" t="n">
        <v>810220</v>
      </c>
      <c r="E56" s="23" t="n">
        <v>803854</v>
      </c>
      <c r="F56" s="18" t="n">
        <v>803273</v>
      </c>
      <c r="G56" s="19" t="n">
        <v>802331</v>
      </c>
      <c r="H56" s="18" t="n">
        <v>-3332</v>
      </c>
      <c r="I56" s="18" t="n">
        <v>5032</v>
      </c>
      <c r="J56" s="18" t="n">
        <v>1178</v>
      </c>
      <c r="K56" s="19" t="n"/>
      <c r="L56" s="19" t="n"/>
      <c r="M56" s="19" t="n"/>
      <c r="N56" s="19" t="n"/>
      <c r="O56" s="18" t="n">
        <v>289882</v>
      </c>
      <c r="P56" s="18" t="n">
        <v>18077</v>
      </c>
      <c r="Q56" s="18" t="n">
        <v>605</v>
      </c>
      <c r="R56" s="18" t="n">
        <v>217</v>
      </c>
      <c r="S56" s="18" t="n">
        <v>316731</v>
      </c>
      <c r="T56" s="18" t="n">
        <v>18208</v>
      </c>
      <c r="U56" s="18" t="n">
        <v>603</v>
      </c>
      <c r="V56" s="18" t="n">
        <v>215</v>
      </c>
    </row>
    <row r="57" ht="45" customHeight="1">
      <c r="A57" s="4" t="inlineStr">
        <is>
          <t>CNAE</t>
        </is>
      </c>
      <c r="B57" s="5" t="n">
        <v>477</v>
      </c>
      <c r="C57" s="13" t="inlineStr">
        <is>
          <t>Comércio varejista de produtos farmacêuticos, perfumaria e cosméticos e artigos médicos, ópticos e ortopédicos</t>
        </is>
      </c>
      <c r="D57" s="23" t="n">
        <v>799131</v>
      </c>
      <c r="E57" s="23" t="n">
        <v>818225</v>
      </c>
      <c r="F57" s="18" t="n">
        <v>849260</v>
      </c>
      <c r="G57" s="19" t="n">
        <v>881172</v>
      </c>
      <c r="H57" s="18" t="n">
        <v>25306</v>
      </c>
      <c r="I57" s="18" t="n">
        <v>36514</v>
      </c>
      <c r="J57" s="18" t="n">
        <v>26338</v>
      </c>
      <c r="K57" s="19" t="n"/>
      <c r="L57" s="19" t="n"/>
      <c r="M57" s="19" t="n"/>
      <c r="N57" s="19" t="n"/>
      <c r="O57" s="18" t="n">
        <v>212947</v>
      </c>
      <c r="P57" s="18" t="n">
        <v>23237</v>
      </c>
      <c r="Q57" s="18" t="n">
        <v>357</v>
      </c>
      <c r="R57" s="18" t="n">
        <v>103</v>
      </c>
      <c r="S57" s="18" t="n">
        <v>228251</v>
      </c>
      <c r="T57" s="18" t="n">
        <v>24329</v>
      </c>
      <c r="U57" s="18" t="n">
        <v>397</v>
      </c>
      <c r="V57" s="18" t="n">
        <v>114</v>
      </c>
    </row>
    <row r="58" ht="30" customHeight="1">
      <c r="A58" s="4" t="inlineStr">
        <is>
          <t>CNAE</t>
        </is>
      </c>
      <c r="B58" s="5" t="n">
        <v>478</v>
      </c>
      <c r="C58" s="13" t="inlineStr">
        <is>
          <t>Comércio varejista de produtos novos não especificados anteriormente e de produtos usados</t>
        </is>
      </c>
      <c r="D58" s="23" t="n">
        <v>1301220</v>
      </c>
      <c r="E58" s="23" t="n">
        <v>1304248</v>
      </c>
      <c r="F58" s="18" t="n">
        <v>1319328</v>
      </c>
      <c r="G58" s="19" t="n">
        <v>1299828</v>
      </c>
      <c r="H58" s="18" t="n">
        <v>12334</v>
      </c>
      <c r="I58" s="18" t="n">
        <v>18878</v>
      </c>
      <c r="J58" s="18" t="n">
        <v>-25770</v>
      </c>
      <c r="K58" s="19" t="n"/>
      <c r="L58" s="19" t="n"/>
      <c r="M58" s="19" t="n"/>
      <c r="N58" s="19" t="n"/>
      <c r="O58" s="18" t="n">
        <v>560920</v>
      </c>
      <c r="P58" s="18" t="n">
        <v>26149</v>
      </c>
      <c r="Q58" s="18" t="n">
        <v>858</v>
      </c>
      <c r="R58" s="18" t="n">
        <v>207</v>
      </c>
      <c r="S58" s="18" t="n">
        <v>608089</v>
      </c>
      <c r="T58" s="18" t="n">
        <v>26598</v>
      </c>
      <c r="U58" s="18" t="n">
        <v>874</v>
      </c>
      <c r="V58" s="18" t="n">
        <v>207</v>
      </c>
    </row>
    <row r="59" ht="30" customHeight="1">
      <c r="A59" s="4" t="inlineStr">
        <is>
          <t>CNAE</t>
        </is>
      </c>
      <c r="B59" t="n">
        <v>46141</v>
      </c>
      <c r="C59" s="12" t="inlineStr">
        <is>
          <t>Representantes comerciais e agentes do comércio de máquinas, equipamentos, embarcações e aeronaves</t>
        </is>
      </c>
      <c r="D59" s="23" t="n">
        <v>4062</v>
      </c>
      <c r="E59" s="23" t="n">
        <v>4123</v>
      </c>
      <c r="F59" s="18" t="n">
        <v>4192</v>
      </c>
      <c r="G59" s="19" t="n">
        <v>4536</v>
      </c>
      <c r="H59" s="18" t="n">
        <v>279</v>
      </c>
      <c r="I59" s="18" t="n">
        <v>346</v>
      </c>
      <c r="J59" s="18" t="n">
        <v>94</v>
      </c>
      <c r="K59" s="20" t="n"/>
      <c r="L59" s="20" t="n"/>
      <c r="M59" s="20" t="n"/>
      <c r="N59" s="20" t="n"/>
      <c r="O59" s="18" t="n">
        <v>5847</v>
      </c>
      <c r="P59" s="18" t="n">
        <v>83</v>
      </c>
      <c r="Q59" s="18" t="n">
        <v>5</v>
      </c>
      <c r="R59" s="18" t="n">
        <v>1</v>
      </c>
      <c r="S59" s="18" t="n">
        <v>6069</v>
      </c>
      <c r="T59" s="18" t="n">
        <v>79</v>
      </c>
      <c r="U59" s="18" t="n">
        <v>6</v>
      </c>
      <c r="V59" s="18" t="n">
        <v>2</v>
      </c>
    </row>
    <row r="60" ht="30" customHeight="1">
      <c r="A60" s="4" t="inlineStr">
        <is>
          <t>CNAE</t>
        </is>
      </c>
      <c r="B60" t="n">
        <v>46150</v>
      </c>
      <c r="C60" s="12" t="inlineStr">
        <is>
          <t>Representantes comerciais e agentes do comércio de eletrodomésticos, móveis e artigos de uso doméstico</t>
        </is>
      </c>
      <c r="D60" s="23" t="n">
        <v>2990</v>
      </c>
      <c r="E60" s="23" t="n">
        <v>2957</v>
      </c>
      <c r="F60" s="18" t="n">
        <v>2874</v>
      </c>
      <c r="G60" s="19" t="n">
        <v>3030</v>
      </c>
      <c r="H60" s="18" t="n">
        <v>40</v>
      </c>
      <c r="I60" s="18" t="n">
        <v>4</v>
      </c>
      <c r="J60" s="18" t="n">
        <v>87</v>
      </c>
      <c r="K60" s="20" t="n"/>
      <c r="L60" s="20" t="n"/>
      <c r="M60" s="20" t="n"/>
      <c r="N60" s="20" t="n"/>
      <c r="O60" s="18" t="n">
        <v>5004</v>
      </c>
      <c r="P60" s="18" t="n">
        <v>67</v>
      </c>
      <c r="Q60" s="18" t="n">
        <v>1</v>
      </c>
      <c r="R60" s="18" t="n">
        <v>1</v>
      </c>
      <c r="S60" s="18" t="n">
        <v>5294</v>
      </c>
      <c r="T60" s="18" t="n">
        <v>67</v>
      </c>
      <c r="U60" s="18" t="n">
        <v>2</v>
      </c>
      <c r="V60" s="18" t="n">
        <v>1</v>
      </c>
    </row>
    <row r="61" ht="30" customHeight="1">
      <c r="A61" s="4" t="inlineStr">
        <is>
          <t>CNAE</t>
        </is>
      </c>
      <c r="B61" t="n">
        <v>46168</v>
      </c>
      <c r="C61" s="12" t="inlineStr">
        <is>
          <t>Representantes comerciais e agentes do comércio de têxteis, vestuário, calçados e artigos de viagem</t>
        </is>
      </c>
      <c r="D61" s="23" t="n">
        <v>3200</v>
      </c>
      <c r="E61" s="23" t="n">
        <v>3278</v>
      </c>
      <c r="F61" s="18" t="n">
        <v>3086</v>
      </c>
      <c r="G61" s="19" t="n">
        <v>3189</v>
      </c>
      <c r="H61" s="18" t="n">
        <v>108</v>
      </c>
      <c r="I61" s="18" t="n">
        <v>-76</v>
      </c>
      <c r="J61" s="18" t="n">
        <v>23</v>
      </c>
      <c r="K61" s="20" t="n"/>
      <c r="L61" s="20" t="n"/>
      <c r="M61" s="20" t="n"/>
      <c r="N61" s="20" t="n"/>
      <c r="O61" s="18" t="n">
        <v>14249</v>
      </c>
      <c r="P61" s="18" t="n">
        <v>33</v>
      </c>
      <c r="Q61" s="18" t="n">
        <v>1</v>
      </c>
      <c r="R61" s="18" t="n">
        <v>1</v>
      </c>
      <c r="S61" s="18" t="n">
        <v>14801</v>
      </c>
      <c r="T61" s="18" t="n">
        <v>32</v>
      </c>
      <c r="U61" s="18" t="n">
        <v>0</v>
      </c>
      <c r="V61" s="18" t="n">
        <v>1</v>
      </c>
    </row>
    <row r="62" ht="45" customHeight="1">
      <c r="A62" s="4" t="inlineStr">
        <is>
          <t>CNAE</t>
        </is>
      </c>
      <c r="B62" t="n">
        <v>46184</v>
      </c>
      <c r="C62" s="12" t="inlineStr">
        <is>
          <t>Representantes comerciais e agentes do comércio especializado em produtos não especificados anteriormente</t>
        </is>
      </c>
      <c r="D62" s="23" t="n">
        <v>11011</v>
      </c>
      <c r="E62" s="23" t="n">
        <v>13528</v>
      </c>
      <c r="F62" s="18" t="n">
        <v>14731</v>
      </c>
      <c r="G62" s="19" t="n">
        <v>15904</v>
      </c>
      <c r="H62" s="18" t="n">
        <v>2938</v>
      </c>
      <c r="I62" s="18" t="n">
        <v>810</v>
      </c>
      <c r="J62" s="18" t="n">
        <v>1315</v>
      </c>
      <c r="K62" s="20" t="n"/>
      <c r="L62" s="20" t="n"/>
      <c r="M62" s="20" t="n"/>
      <c r="N62" s="20" t="n"/>
      <c r="O62" s="18" t="n">
        <v>30069</v>
      </c>
      <c r="P62" s="18" t="n">
        <v>133</v>
      </c>
      <c r="Q62" s="18" t="n">
        <v>8</v>
      </c>
      <c r="R62" s="18" t="n">
        <v>10</v>
      </c>
      <c r="S62" s="18" t="n">
        <v>31989</v>
      </c>
      <c r="T62" s="18" t="n">
        <v>141</v>
      </c>
      <c r="U62" s="18" t="n">
        <v>13</v>
      </c>
      <c r="V62" s="18" t="n">
        <v>10</v>
      </c>
    </row>
    <row r="63" ht="30" customHeight="1">
      <c r="A63" s="4" t="inlineStr">
        <is>
          <t>CNAE</t>
        </is>
      </c>
      <c r="B63" t="n">
        <v>46192</v>
      </c>
      <c r="C63" s="12" t="inlineStr">
        <is>
          <t>Representantes comerciais e agentes do comércio de mercadorias em geral não especializado</t>
        </is>
      </c>
      <c r="D63" s="23" t="n">
        <v>20521</v>
      </c>
      <c r="E63" s="23" t="n">
        <v>21873</v>
      </c>
      <c r="F63" s="18" t="n">
        <v>22340</v>
      </c>
      <c r="G63" s="19" t="n">
        <v>23689</v>
      </c>
      <c r="H63" s="18" t="n">
        <v>1409</v>
      </c>
      <c r="I63" s="18" t="n">
        <v>1389</v>
      </c>
      <c r="J63" s="18" t="n">
        <v>1125</v>
      </c>
      <c r="K63" s="20" t="n"/>
      <c r="L63" s="20" t="n"/>
      <c r="M63" s="20" t="n"/>
      <c r="N63" s="20" t="n"/>
      <c r="O63" s="18" t="n">
        <v>61071</v>
      </c>
      <c r="P63" s="18" t="n">
        <v>318</v>
      </c>
      <c r="Q63" s="18" t="n">
        <v>33</v>
      </c>
      <c r="R63" s="18" t="n">
        <v>14</v>
      </c>
      <c r="S63" s="18" t="n">
        <v>68663</v>
      </c>
      <c r="T63" s="18" t="n">
        <v>306</v>
      </c>
      <c r="U63" s="18" t="n">
        <v>40</v>
      </c>
      <c r="V63" s="18" t="n">
        <v>14</v>
      </c>
    </row>
    <row r="64" ht="30" customHeight="1">
      <c r="A64" s="4" t="inlineStr">
        <is>
          <t>CNAE</t>
        </is>
      </c>
      <c r="B64" t="n">
        <v>46419</v>
      </c>
      <c r="C64" s="12" t="inlineStr">
        <is>
          <t>Comércio atacadista de tecidos, artefatos de tecidos e de armarinho</t>
        </is>
      </c>
      <c r="D64" s="23" t="n">
        <v>24277</v>
      </c>
      <c r="E64" s="23" t="n">
        <v>25775</v>
      </c>
      <c r="F64" s="18" t="n">
        <v>26491</v>
      </c>
      <c r="G64" s="19" t="n">
        <v>27063</v>
      </c>
      <c r="H64" s="18" t="n">
        <v>832</v>
      </c>
      <c r="I64" s="18" t="n">
        <v>916</v>
      </c>
      <c r="J64" s="18" t="n">
        <v>530</v>
      </c>
      <c r="K64" s="20" t="n"/>
      <c r="L64" s="20" t="n"/>
      <c r="M64" s="20" t="n"/>
      <c r="N64" s="20" t="n"/>
      <c r="O64" s="18" t="n">
        <v>5184</v>
      </c>
      <c r="P64" s="18" t="n">
        <v>596</v>
      </c>
      <c r="Q64" s="18" t="n">
        <v>41</v>
      </c>
      <c r="R64" s="18" t="n">
        <v>16</v>
      </c>
      <c r="S64" s="18" t="n">
        <v>5587</v>
      </c>
      <c r="T64" s="18" t="n">
        <v>598</v>
      </c>
      <c r="U64" s="18" t="n">
        <v>46</v>
      </c>
      <c r="V64" s="18" t="n">
        <v>17</v>
      </c>
    </row>
    <row r="65" ht="30" customHeight="1">
      <c r="A65" s="4" t="inlineStr">
        <is>
          <t>CNAE</t>
        </is>
      </c>
      <c r="B65" t="n">
        <v>46427</v>
      </c>
      <c r="C65" s="12" t="inlineStr">
        <is>
          <t>Comércio atacadista de artigos do vestuário e acessórios</t>
        </is>
      </c>
      <c r="D65" s="23" t="n">
        <v>38439</v>
      </c>
      <c r="E65" s="23" t="n">
        <v>39906</v>
      </c>
      <c r="F65" s="18" t="n">
        <v>41048</v>
      </c>
      <c r="G65" s="19" t="n">
        <v>42270</v>
      </c>
      <c r="H65" s="18" t="n">
        <v>1388</v>
      </c>
      <c r="I65" s="18" t="n">
        <v>1164</v>
      </c>
      <c r="J65" s="18" t="n">
        <v>2134</v>
      </c>
      <c r="K65" s="20" t="n"/>
      <c r="L65" s="20" t="n"/>
      <c r="M65" s="20" t="n"/>
      <c r="N65" s="20" t="n"/>
      <c r="O65" s="18" t="n">
        <v>11577</v>
      </c>
      <c r="P65" s="18" t="n">
        <v>716</v>
      </c>
      <c r="Q65" s="18" t="n">
        <v>42</v>
      </c>
      <c r="R65" s="18" t="n">
        <v>37</v>
      </c>
      <c r="S65" s="18" t="n">
        <v>12585</v>
      </c>
      <c r="T65" s="18" t="n">
        <v>694</v>
      </c>
      <c r="U65" s="18" t="n">
        <v>48</v>
      </c>
      <c r="V65" s="18" t="n">
        <v>37</v>
      </c>
    </row>
    <row r="66">
      <c r="A66" s="4" t="inlineStr">
        <is>
          <t>CNAE</t>
        </is>
      </c>
      <c r="B66" t="n">
        <v>46435</v>
      </c>
      <c r="C66" s="12" t="inlineStr">
        <is>
          <t>Comércio atacadista de calçados e artigos de viagem</t>
        </is>
      </c>
      <c r="D66" s="23" t="n">
        <v>8167</v>
      </c>
      <c r="E66" s="23" t="n">
        <v>8439</v>
      </c>
      <c r="F66" s="18" t="n">
        <v>9717</v>
      </c>
      <c r="G66" s="19" t="n">
        <v>8799</v>
      </c>
      <c r="H66" s="18" t="n">
        <v>234</v>
      </c>
      <c r="I66" s="18" t="n">
        <v>385</v>
      </c>
      <c r="J66" s="18" t="n">
        <v>-47</v>
      </c>
      <c r="K66" s="20" t="n"/>
      <c r="L66" s="20" t="n"/>
      <c r="M66" s="20" t="n"/>
      <c r="N66" s="20" t="n"/>
      <c r="O66" s="18" t="n">
        <v>2067</v>
      </c>
      <c r="P66" s="18" t="n">
        <v>132</v>
      </c>
      <c r="Q66" s="18" t="n">
        <v>13</v>
      </c>
      <c r="R66" s="18" t="n">
        <v>14</v>
      </c>
      <c r="S66" s="18" t="n">
        <v>2238</v>
      </c>
      <c r="T66" s="18" t="n">
        <v>134</v>
      </c>
      <c r="U66" s="18" t="n">
        <v>15</v>
      </c>
      <c r="V66" s="18" t="n">
        <v>17</v>
      </c>
    </row>
    <row r="67" ht="30" customHeight="1">
      <c r="A67" s="4" t="inlineStr">
        <is>
          <t>CNAE</t>
        </is>
      </c>
      <c r="B67" t="n">
        <v>46451</v>
      </c>
      <c r="C67" s="12" t="inlineStr">
        <is>
          <t>Comércio atacadista de instrumentos e materiais para uso médico, cirúrgico, ortopédico e odontológico</t>
        </is>
      </c>
      <c r="D67" s="23" t="n">
        <v>55153</v>
      </c>
      <c r="E67" s="23" t="n">
        <v>57368</v>
      </c>
      <c r="F67" s="18" t="n">
        <v>59532</v>
      </c>
      <c r="G67" s="19" t="n">
        <v>59326</v>
      </c>
      <c r="H67" s="18" t="n">
        <v>1697</v>
      </c>
      <c r="I67" s="18" t="n">
        <v>1549</v>
      </c>
      <c r="J67" s="18" t="n">
        <v>1034</v>
      </c>
      <c r="K67" s="20" t="n"/>
      <c r="L67" s="20" t="n"/>
      <c r="M67" s="20" t="n"/>
      <c r="N67" s="20" t="n"/>
      <c r="O67" s="18" t="n">
        <v>9807</v>
      </c>
      <c r="P67" s="18" t="n">
        <v>1181</v>
      </c>
      <c r="Q67" s="18" t="n">
        <v>102</v>
      </c>
      <c r="R67" s="18" t="n">
        <v>53</v>
      </c>
      <c r="S67" s="18" t="n">
        <v>10492</v>
      </c>
      <c r="T67" s="18" t="n">
        <v>1237</v>
      </c>
      <c r="U67" s="18" t="n">
        <v>110</v>
      </c>
      <c r="V67" s="18" t="n">
        <v>55</v>
      </c>
    </row>
    <row r="68" ht="30" customHeight="1">
      <c r="A68" s="4" t="inlineStr">
        <is>
          <t>CNAE</t>
        </is>
      </c>
      <c r="B68" t="n">
        <v>46460</v>
      </c>
      <c r="C68" s="12" t="inlineStr">
        <is>
          <t>Comércio atacadista de cosméticos, produtos de perfumaria e de higiene pessoal</t>
        </is>
      </c>
      <c r="D68" s="23" t="n">
        <v>74885</v>
      </c>
      <c r="E68" s="23" t="n">
        <v>79802</v>
      </c>
      <c r="F68" s="18" t="n">
        <v>86078</v>
      </c>
      <c r="G68" s="19" t="n">
        <v>86649</v>
      </c>
      <c r="H68" s="18" t="n">
        <v>3543</v>
      </c>
      <c r="I68" s="18" t="n">
        <v>5291</v>
      </c>
      <c r="J68" s="18" t="n">
        <v>1619</v>
      </c>
      <c r="K68" s="20" t="n"/>
      <c r="L68" s="20" t="n"/>
      <c r="M68" s="20" t="n"/>
      <c r="N68" s="20" t="n"/>
      <c r="O68" s="18" t="n">
        <v>7383</v>
      </c>
      <c r="P68" s="18" t="n">
        <v>1046</v>
      </c>
      <c r="Q68" s="18" t="n">
        <v>137</v>
      </c>
      <c r="R68" s="18" t="n">
        <v>109</v>
      </c>
      <c r="S68" s="18" t="n">
        <v>7858</v>
      </c>
      <c r="T68" s="18" t="n">
        <v>1159</v>
      </c>
      <c r="U68" s="18" t="n">
        <v>160</v>
      </c>
      <c r="V68" s="18" t="n">
        <v>107</v>
      </c>
    </row>
    <row r="69" ht="30" customHeight="1">
      <c r="A69" s="4" t="inlineStr">
        <is>
          <t>CNAE</t>
        </is>
      </c>
      <c r="B69" t="n">
        <v>46478</v>
      </c>
      <c r="C69" s="12" t="inlineStr">
        <is>
          <t>Comércio atacadista de artigos de escritório e de papelaria</t>
        </is>
      </c>
      <c r="D69" s="23" t="n">
        <v>21694</v>
      </c>
      <c r="E69" s="23" t="n">
        <v>21063</v>
      </c>
      <c r="F69" s="18" t="n">
        <v>21285</v>
      </c>
      <c r="G69" s="19" t="n">
        <v>22242</v>
      </c>
      <c r="H69" s="18" t="n">
        <v>440</v>
      </c>
      <c r="I69" s="18" t="n">
        <v>488</v>
      </c>
      <c r="J69" s="18" t="n">
        <v>280</v>
      </c>
      <c r="K69" s="20" t="n"/>
      <c r="L69" s="20" t="n"/>
      <c r="M69" s="20" t="n"/>
      <c r="N69" s="20" t="n"/>
      <c r="O69" s="18" t="n">
        <v>3874</v>
      </c>
      <c r="P69" s="18" t="n">
        <v>363</v>
      </c>
      <c r="Q69" s="18" t="n">
        <v>40</v>
      </c>
      <c r="R69" s="18" t="n">
        <v>27</v>
      </c>
      <c r="S69" s="18" t="n">
        <v>4232</v>
      </c>
      <c r="T69" s="18" t="n">
        <v>371</v>
      </c>
      <c r="U69" s="18" t="n">
        <v>45</v>
      </c>
      <c r="V69" s="18" t="n">
        <v>24</v>
      </c>
    </row>
    <row r="70" ht="30" customHeight="1">
      <c r="A70" s="4" t="inlineStr">
        <is>
          <t>CNAE</t>
        </is>
      </c>
      <c r="B70" t="n">
        <v>46494</v>
      </c>
      <c r="C70" s="12" t="inlineStr">
        <is>
          <t>Comércio atacadista de equipamentos e artigos de uso pessoal e doméstico não especificados anteriormente</t>
        </is>
      </c>
      <c r="D70" s="23" t="n">
        <v>89012</v>
      </c>
      <c r="E70" s="23" t="n">
        <v>91490</v>
      </c>
      <c r="F70" s="18" t="n">
        <v>95309</v>
      </c>
      <c r="G70" s="19" t="n">
        <v>98435</v>
      </c>
      <c r="H70" s="18" t="n">
        <v>3559</v>
      </c>
      <c r="I70" s="18" t="n">
        <v>3983</v>
      </c>
      <c r="J70" s="18" t="n">
        <v>3016</v>
      </c>
      <c r="K70" s="20" t="n"/>
      <c r="L70" s="20" t="n"/>
      <c r="M70" s="20" t="n"/>
      <c r="N70" s="20" t="n"/>
      <c r="O70" s="18" t="n">
        <v>19998</v>
      </c>
      <c r="P70" s="18" t="n">
        <v>1749</v>
      </c>
      <c r="Q70" s="18" t="n">
        <v>165</v>
      </c>
      <c r="R70" s="18" t="n">
        <v>102</v>
      </c>
      <c r="S70" s="18" t="n">
        <v>21814</v>
      </c>
      <c r="T70" s="18" t="n">
        <v>1825</v>
      </c>
      <c r="U70" s="18" t="n">
        <v>188</v>
      </c>
      <c r="V70" s="18" t="n">
        <v>105</v>
      </c>
    </row>
    <row r="71" ht="30" customHeight="1">
      <c r="A71" s="4" t="inlineStr">
        <is>
          <t>CNAE</t>
        </is>
      </c>
      <c r="B71" t="n">
        <v>46516</v>
      </c>
      <c r="C71" s="12" t="inlineStr">
        <is>
          <t>Comércio atacadista de computadores, periféricos e suprimentos de informática</t>
        </is>
      </c>
      <c r="D71" s="23" t="n">
        <v>23765</v>
      </c>
      <c r="E71" s="23" t="n">
        <v>24617</v>
      </c>
      <c r="F71" s="18" t="n">
        <v>24192</v>
      </c>
      <c r="G71" s="19" t="n">
        <v>24983</v>
      </c>
      <c r="H71" s="18" t="n">
        <v>360</v>
      </c>
      <c r="I71" s="18" t="n">
        <v>117</v>
      </c>
      <c r="J71" s="18" t="n">
        <v>116</v>
      </c>
      <c r="K71" s="20" t="n"/>
      <c r="L71" s="20" t="n"/>
      <c r="M71" s="20" t="n"/>
      <c r="N71" s="20" t="n"/>
      <c r="O71" s="18" t="n">
        <v>3368</v>
      </c>
      <c r="P71" s="18" t="n">
        <v>312</v>
      </c>
      <c r="Q71" s="18" t="n">
        <v>46</v>
      </c>
      <c r="R71" s="18" t="n">
        <v>38</v>
      </c>
      <c r="S71" s="18" t="n">
        <v>3624</v>
      </c>
      <c r="T71" s="18" t="n">
        <v>305</v>
      </c>
      <c r="U71" s="18" t="n">
        <v>47</v>
      </c>
      <c r="V71" s="18" t="n">
        <v>35</v>
      </c>
    </row>
    <row r="72" ht="30" customHeight="1">
      <c r="A72" s="4" t="inlineStr">
        <is>
          <t>CNAE</t>
        </is>
      </c>
      <c r="B72" t="n">
        <v>46524</v>
      </c>
      <c r="C72" s="12" t="inlineStr">
        <is>
          <t>Comércio atacadista de componentes eletrônicos e equipamentos de telefonia e comunicação</t>
        </is>
      </c>
      <c r="D72" s="23" t="n">
        <v>15310</v>
      </c>
      <c r="E72" s="23" t="n">
        <v>15688</v>
      </c>
      <c r="F72" s="18" t="n">
        <v>15948</v>
      </c>
      <c r="G72" s="19" t="n">
        <v>16929</v>
      </c>
      <c r="H72" s="18" t="n">
        <v>845</v>
      </c>
      <c r="I72" s="18" t="n">
        <v>524</v>
      </c>
      <c r="J72" s="18" t="n">
        <v>408</v>
      </c>
      <c r="K72" s="20" t="n"/>
      <c r="L72" s="20" t="n"/>
      <c r="M72" s="20" t="n"/>
      <c r="N72" s="20" t="n"/>
      <c r="O72" s="18" t="n">
        <v>2550</v>
      </c>
      <c r="P72" s="18" t="n">
        <v>257</v>
      </c>
      <c r="Q72" s="18" t="n">
        <v>31</v>
      </c>
      <c r="R72" s="18" t="n">
        <v>24</v>
      </c>
      <c r="S72" s="18" t="n">
        <v>2888</v>
      </c>
      <c r="T72" s="18" t="n">
        <v>264</v>
      </c>
      <c r="U72" s="18" t="n">
        <v>32</v>
      </c>
      <c r="V72" s="18" t="n">
        <v>19</v>
      </c>
    </row>
    <row r="73" ht="30" customHeight="1">
      <c r="A73" s="4" t="inlineStr">
        <is>
          <t>CNAE</t>
        </is>
      </c>
      <c r="B73" t="n">
        <v>46613</v>
      </c>
      <c r="C73" s="12" t="inlineStr">
        <is>
          <t>Comércio atacadista de máquinas, aparelhos e equipamentos para uso agropecuário</t>
        </is>
      </c>
      <c r="D73" s="23" t="n">
        <v>47631</v>
      </c>
      <c r="E73" s="23" t="n">
        <v>51025</v>
      </c>
      <c r="F73" s="18" t="n">
        <v>51186</v>
      </c>
      <c r="G73" s="19" t="n">
        <v>52265</v>
      </c>
      <c r="H73" s="18" t="n">
        <v>3132</v>
      </c>
      <c r="I73" s="18" t="n">
        <v>318</v>
      </c>
      <c r="J73" s="18" t="n">
        <v>1399</v>
      </c>
      <c r="K73" s="20" t="n"/>
      <c r="L73" s="20" t="n"/>
      <c r="M73" s="20" t="n"/>
      <c r="N73" s="20" t="n"/>
      <c r="O73" s="18" t="n">
        <v>5799</v>
      </c>
      <c r="P73" s="18" t="n">
        <v>1206</v>
      </c>
      <c r="Q73" s="18" t="n">
        <v>138</v>
      </c>
      <c r="R73" s="18" t="n">
        <v>45</v>
      </c>
      <c r="S73" s="18" t="n">
        <v>6457</v>
      </c>
      <c r="T73" s="18" t="n">
        <v>1245</v>
      </c>
      <c r="U73" s="18" t="n">
        <v>128</v>
      </c>
      <c r="V73" s="18" t="n">
        <v>45</v>
      </c>
    </row>
    <row r="74" ht="30" customHeight="1">
      <c r="A74" s="4" t="inlineStr">
        <is>
          <t>CNAE</t>
        </is>
      </c>
      <c r="B74" t="n">
        <v>46621</v>
      </c>
      <c r="C74" s="12" t="inlineStr">
        <is>
          <t>Comércio atacadista de máquinas, equipamentos para terraplenagem, mineração e construção</t>
        </is>
      </c>
      <c r="D74" s="23" t="n">
        <v>12844</v>
      </c>
      <c r="E74" s="23" t="n">
        <v>14260</v>
      </c>
      <c r="F74" s="18" t="n">
        <v>15309</v>
      </c>
      <c r="G74" s="19" t="n">
        <v>16444</v>
      </c>
      <c r="H74" s="18" t="n">
        <v>1465</v>
      </c>
      <c r="I74" s="18" t="n">
        <v>1079</v>
      </c>
      <c r="J74" s="18" t="n">
        <v>918</v>
      </c>
      <c r="K74" s="20" t="n"/>
      <c r="L74" s="20" t="n"/>
      <c r="M74" s="20" t="n"/>
      <c r="N74" s="20" t="n"/>
      <c r="O74" s="18" t="n">
        <v>1105</v>
      </c>
      <c r="P74" s="18" t="n">
        <v>204</v>
      </c>
      <c r="Q74" s="18" t="n">
        <v>25</v>
      </c>
      <c r="R74" s="18" t="n">
        <v>22</v>
      </c>
      <c r="S74" s="18" t="n">
        <v>1245</v>
      </c>
      <c r="T74" s="18" t="n">
        <v>218</v>
      </c>
      <c r="U74" s="18" t="n">
        <v>27</v>
      </c>
      <c r="V74" s="18" t="n">
        <v>24</v>
      </c>
    </row>
    <row r="75" ht="30" customHeight="1">
      <c r="A75" s="4" t="inlineStr">
        <is>
          <t>CNAE</t>
        </is>
      </c>
      <c r="B75" t="n">
        <v>46630</v>
      </c>
      <c r="C75" s="12" t="inlineStr">
        <is>
          <t>Comércio atacadista de máquinas e equipamentos para uso industrial</t>
        </is>
      </c>
      <c r="D75" s="23" t="n">
        <v>44199</v>
      </c>
      <c r="E75" s="23" t="n">
        <v>46836</v>
      </c>
      <c r="F75" s="18" t="n">
        <v>49788</v>
      </c>
      <c r="G75" s="19" t="n">
        <v>51685</v>
      </c>
      <c r="H75" s="18" t="n">
        <v>2529</v>
      </c>
      <c r="I75" s="18" t="n">
        <v>2951</v>
      </c>
      <c r="J75" s="18" t="n">
        <v>1820</v>
      </c>
      <c r="K75" s="20" t="n"/>
      <c r="L75" s="20" t="n"/>
      <c r="M75" s="20" t="n"/>
      <c r="N75" s="20" t="n"/>
      <c r="O75" s="18" t="n">
        <v>8963</v>
      </c>
      <c r="P75" s="18" t="n">
        <v>935</v>
      </c>
      <c r="Q75" s="18" t="n">
        <v>102</v>
      </c>
      <c r="R75" s="18" t="n">
        <v>44</v>
      </c>
      <c r="S75" s="18" t="n">
        <v>9736</v>
      </c>
      <c r="T75" s="18" t="n">
        <v>1002</v>
      </c>
      <c r="U75" s="18" t="n">
        <v>109</v>
      </c>
      <c r="V75" s="18" t="n">
        <v>49</v>
      </c>
    </row>
    <row r="76" ht="30" customHeight="1">
      <c r="A76" s="4" t="inlineStr">
        <is>
          <t>CNAE</t>
        </is>
      </c>
      <c r="B76" t="n">
        <v>46648</v>
      </c>
      <c r="C76" s="12" t="inlineStr">
        <is>
          <t>Comércio atacadista de máquinas, aparelhos e equipamentos para uso odonto-médico-hospitalar</t>
        </is>
      </c>
      <c r="D76" s="23" t="n">
        <v>11118</v>
      </c>
      <c r="E76" s="23" t="n">
        <v>10941</v>
      </c>
      <c r="F76" s="18" t="n">
        <v>11403</v>
      </c>
      <c r="G76" s="19" t="n">
        <v>11512</v>
      </c>
      <c r="H76" s="18" t="n">
        <v>256</v>
      </c>
      <c r="I76" s="18" t="n">
        <v>331</v>
      </c>
      <c r="J76" s="18" t="n">
        <v>181</v>
      </c>
      <c r="K76" s="20" t="n"/>
      <c r="L76" s="20" t="n"/>
      <c r="M76" s="20" t="n"/>
      <c r="N76" s="20" t="n"/>
      <c r="O76" s="18" t="n">
        <v>1948</v>
      </c>
      <c r="P76" s="18" t="n">
        <v>199</v>
      </c>
      <c r="Q76" s="18" t="n">
        <v>22</v>
      </c>
      <c r="R76" s="18" t="n">
        <v>11</v>
      </c>
      <c r="S76" s="18" t="n">
        <v>2019</v>
      </c>
      <c r="T76" s="18" t="n">
        <v>205</v>
      </c>
      <c r="U76" s="18" t="n">
        <v>24</v>
      </c>
      <c r="V76" s="18" t="n">
        <v>13</v>
      </c>
    </row>
    <row r="77" ht="30" customHeight="1">
      <c r="A77" s="4" t="inlineStr">
        <is>
          <t>CNAE</t>
        </is>
      </c>
      <c r="B77" t="n">
        <v>46656</v>
      </c>
      <c r="C77" s="12" t="inlineStr">
        <is>
          <t>Comércio atacadista de máquinas e equipamentos para uso comercial</t>
        </is>
      </c>
      <c r="D77" s="23" t="n">
        <v>10656</v>
      </c>
      <c r="E77" s="23" t="n">
        <v>11071</v>
      </c>
      <c r="F77" s="18" t="n">
        <v>11579</v>
      </c>
      <c r="G77" s="19" t="n">
        <v>12049</v>
      </c>
      <c r="H77" s="18" t="n">
        <v>236</v>
      </c>
      <c r="I77" s="18" t="n">
        <v>547</v>
      </c>
      <c r="J77" s="18" t="n">
        <v>345</v>
      </c>
      <c r="K77" s="20" t="n"/>
      <c r="L77" s="20" t="n"/>
      <c r="M77" s="20" t="n"/>
      <c r="N77" s="20" t="n"/>
      <c r="O77" s="18" t="n">
        <v>2333</v>
      </c>
      <c r="P77" s="18" t="n">
        <v>230</v>
      </c>
      <c r="Q77" s="18" t="n">
        <v>23</v>
      </c>
      <c r="R77" s="18" t="n">
        <v>7</v>
      </c>
      <c r="S77" s="18" t="n">
        <v>2534</v>
      </c>
      <c r="T77" s="18" t="n">
        <v>245</v>
      </c>
      <c r="U77" s="18" t="n">
        <v>26</v>
      </c>
      <c r="V77" s="18" t="n">
        <v>8</v>
      </c>
    </row>
    <row r="78" ht="30" customHeight="1">
      <c r="A78" s="4" t="inlineStr">
        <is>
          <t>CNAE</t>
        </is>
      </c>
      <c r="B78" t="n">
        <v>46699</v>
      </c>
      <c r="C78" s="12" t="inlineStr">
        <is>
          <t>Comércio atacadista de máquinas, aparelhos e equipamentos não especificados anteriormente</t>
        </is>
      </c>
      <c r="D78" s="23" t="n">
        <v>34738</v>
      </c>
      <c r="E78" s="23" t="n">
        <v>36713</v>
      </c>
      <c r="F78" s="18" t="n">
        <v>38617</v>
      </c>
      <c r="G78" s="19" t="n">
        <v>39031</v>
      </c>
      <c r="H78" s="18" t="n">
        <v>3295</v>
      </c>
      <c r="I78" s="18" t="n">
        <v>1267</v>
      </c>
      <c r="J78" s="18" t="n">
        <v>451</v>
      </c>
      <c r="K78" s="20" t="n"/>
      <c r="L78" s="20" t="n"/>
      <c r="M78" s="20" t="n"/>
      <c r="N78" s="20" t="n"/>
      <c r="O78" s="18" t="n">
        <v>5875</v>
      </c>
      <c r="P78" s="18" t="n">
        <v>693</v>
      </c>
      <c r="Q78" s="18" t="n">
        <v>82</v>
      </c>
      <c r="R78" s="18" t="n">
        <v>39</v>
      </c>
      <c r="S78" s="18" t="n">
        <v>6270</v>
      </c>
      <c r="T78" s="18" t="n">
        <v>696</v>
      </c>
      <c r="U78" s="18" t="n">
        <v>73</v>
      </c>
      <c r="V78" s="18" t="n">
        <v>52</v>
      </c>
    </row>
    <row r="79">
      <c r="A79" s="4" t="inlineStr">
        <is>
          <t>CNAE</t>
        </is>
      </c>
      <c r="B79" t="n">
        <v>46711</v>
      </c>
      <c r="C79" s="12" t="inlineStr">
        <is>
          <t>Comércio atacadista de madeira e produtos derivados</t>
        </is>
      </c>
      <c r="D79" s="23" t="n">
        <v>18243</v>
      </c>
      <c r="E79" s="23" t="n">
        <v>18243</v>
      </c>
      <c r="F79" s="18" t="n">
        <v>18305</v>
      </c>
      <c r="G79" s="19" t="n">
        <v>18862</v>
      </c>
      <c r="H79" s="18" t="n">
        <v>178</v>
      </c>
      <c r="I79" s="18" t="n">
        <v>159</v>
      </c>
      <c r="J79" s="18" t="n">
        <v>483</v>
      </c>
      <c r="K79" s="20" t="n"/>
      <c r="L79" s="20" t="n"/>
      <c r="M79" s="20" t="n"/>
      <c r="N79" s="20" t="n"/>
      <c r="O79" s="18" t="n">
        <v>3830</v>
      </c>
      <c r="P79" s="18" t="n">
        <v>461</v>
      </c>
      <c r="Q79" s="18" t="n">
        <v>33</v>
      </c>
      <c r="R79" s="18" t="n">
        <v>13</v>
      </c>
      <c r="S79" s="18" t="n">
        <v>4189</v>
      </c>
      <c r="T79" s="18" t="n">
        <v>436</v>
      </c>
      <c r="U79" s="18" t="n">
        <v>42</v>
      </c>
      <c r="V79" s="18" t="n">
        <v>9</v>
      </c>
    </row>
    <row r="80">
      <c r="A80" s="4" t="inlineStr">
        <is>
          <t>CNAE</t>
        </is>
      </c>
      <c r="B80" t="n">
        <v>46729</v>
      </c>
      <c r="C80" s="12" t="inlineStr">
        <is>
          <t>Comércio atacadista de ferragens e ferramentas</t>
        </is>
      </c>
      <c r="D80" s="23" t="n">
        <v>34853</v>
      </c>
      <c r="E80" s="23" t="n">
        <v>37088</v>
      </c>
      <c r="F80" s="18" t="n">
        <v>39570</v>
      </c>
      <c r="G80" s="19" t="n">
        <v>41102</v>
      </c>
      <c r="H80" s="18" t="n">
        <v>2146</v>
      </c>
      <c r="I80" s="18" t="n">
        <v>2512</v>
      </c>
      <c r="J80" s="18" t="n">
        <v>1598</v>
      </c>
      <c r="K80" s="20" t="n"/>
      <c r="L80" s="20" t="n"/>
      <c r="M80" s="20" t="n"/>
      <c r="N80" s="20" t="n"/>
      <c r="O80" s="18" t="n">
        <v>4151</v>
      </c>
      <c r="P80" s="18" t="n">
        <v>776</v>
      </c>
      <c r="Q80" s="18" t="n">
        <v>101</v>
      </c>
      <c r="R80" s="18" t="n">
        <v>41</v>
      </c>
      <c r="S80" s="18" t="n">
        <v>4527</v>
      </c>
      <c r="T80" s="18" t="n">
        <v>813</v>
      </c>
      <c r="U80" s="18" t="n">
        <v>98</v>
      </c>
      <c r="V80" s="18" t="n">
        <v>49</v>
      </c>
    </row>
    <row r="81">
      <c r="A81" s="4" t="inlineStr">
        <is>
          <t>CNAE</t>
        </is>
      </c>
      <c r="B81" t="n">
        <v>46737</v>
      </c>
      <c r="C81" s="12" t="inlineStr">
        <is>
          <t>Comércio atacadista de material elétrico</t>
        </is>
      </c>
      <c r="D81" s="23" t="n">
        <v>20309</v>
      </c>
      <c r="E81" s="23" t="n">
        <v>22055</v>
      </c>
      <c r="F81" s="18" t="n">
        <v>23339</v>
      </c>
      <c r="G81" s="19" t="n">
        <v>22896</v>
      </c>
      <c r="H81" s="18" t="n">
        <v>601</v>
      </c>
      <c r="I81" s="18" t="n">
        <v>1174</v>
      </c>
      <c r="J81" s="18" t="n">
        <v>493</v>
      </c>
      <c r="K81" s="20" t="n"/>
      <c r="L81" s="20" t="n"/>
      <c r="M81" s="20" t="n"/>
      <c r="N81" s="20" t="n"/>
      <c r="O81" s="18" t="n">
        <v>2818</v>
      </c>
      <c r="P81" s="18" t="n">
        <v>351</v>
      </c>
      <c r="Q81" s="18" t="n">
        <v>61</v>
      </c>
      <c r="R81" s="18" t="n">
        <v>30</v>
      </c>
      <c r="S81" s="18" t="n">
        <v>3071</v>
      </c>
      <c r="T81" s="18" t="n">
        <v>373</v>
      </c>
      <c r="U81" s="18" t="n">
        <v>66</v>
      </c>
      <c r="V81" s="18" t="n">
        <v>29</v>
      </c>
    </row>
    <row r="82" ht="45" customHeight="1">
      <c r="A82" s="4" t="inlineStr">
        <is>
          <t>CNAE</t>
        </is>
      </c>
      <c r="B82" t="n">
        <v>46796</v>
      </c>
      <c r="C82" s="12" t="inlineStr">
        <is>
          <t>Comércio atacadista especializado de materiais de construção não especificados anteriormente e de materiais de construção em geral</t>
        </is>
      </c>
      <c r="D82" s="23" t="n">
        <v>65782</v>
      </c>
      <c r="E82" s="23" t="n">
        <v>71391</v>
      </c>
      <c r="F82" s="18" t="n">
        <v>74770</v>
      </c>
      <c r="G82" s="19" t="n">
        <v>74425</v>
      </c>
      <c r="H82" s="18" t="n">
        <v>3275</v>
      </c>
      <c r="I82" s="18" t="n">
        <v>2846</v>
      </c>
      <c r="J82" s="18" t="n">
        <v>1985</v>
      </c>
      <c r="K82" s="20" t="n"/>
      <c r="L82" s="20" t="n"/>
      <c r="M82" s="20" t="n"/>
      <c r="N82" s="20" t="n"/>
      <c r="O82" s="18" t="n">
        <v>11001</v>
      </c>
      <c r="P82" s="18" t="n">
        <v>1435</v>
      </c>
      <c r="Q82" s="18" t="n">
        <v>159</v>
      </c>
      <c r="R82" s="18" t="n">
        <v>85</v>
      </c>
      <c r="S82" s="18" t="n">
        <v>12279</v>
      </c>
      <c r="T82" s="18" t="n">
        <v>1478</v>
      </c>
      <c r="U82" s="18" t="n">
        <v>161</v>
      </c>
      <c r="V82" s="18" t="n">
        <v>101</v>
      </c>
    </row>
    <row r="83">
      <c r="A83" s="4" t="inlineStr">
        <is>
          <t>CNAE</t>
        </is>
      </c>
      <c r="B83" t="n">
        <v>46826</v>
      </c>
      <c r="C83" s="12" t="inlineStr">
        <is>
          <t>Comércio atacadista de gás liquefeito de petróleo (glp)</t>
        </is>
      </c>
      <c r="D83" s="23" t="n">
        <v>18290</v>
      </c>
      <c r="E83" s="23" t="n">
        <v>19064</v>
      </c>
      <c r="F83" s="18" t="n">
        <v>19144</v>
      </c>
      <c r="G83" s="19" t="n">
        <v>19877</v>
      </c>
      <c r="H83" s="18" t="n">
        <v>566</v>
      </c>
      <c r="I83" s="18" t="n">
        <v>131</v>
      </c>
      <c r="J83" s="18" t="n">
        <v>629</v>
      </c>
      <c r="K83" s="20" t="n"/>
      <c r="L83" s="20" t="n"/>
      <c r="M83" s="20" t="n"/>
      <c r="N83" s="20" t="n"/>
      <c r="O83" s="18" t="n">
        <v>689</v>
      </c>
      <c r="P83" s="18" t="n">
        <v>139</v>
      </c>
      <c r="Q83" s="18" t="n">
        <v>44</v>
      </c>
      <c r="R83" s="18" t="n">
        <v>64</v>
      </c>
      <c r="S83" s="18" t="n">
        <v>671</v>
      </c>
      <c r="T83" s="18" t="n">
        <v>140</v>
      </c>
      <c r="U83" s="18" t="n">
        <v>48</v>
      </c>
      <c r="V83" s="18" t="n">
        <v>61</v>
      </c>
    </row>
    <row r="84" ht="30" customHeight="1">
      <c r="A84" s="4" t="inlineStr">
        <is>
          <t>CNAE</t>
        </is>
      </c>
      <c r="B84" t="n">
        <v>46834</v>
      </c>
      <c r="C84" s="12" t="inlineStr">
        <is>
          <t>Comércio atacadista de defensivos agrícolas, adubos, fertilizantes e corretivos do solo</t>
        </is>
      </c>
      <c r="D84" s="23" t="n">
        <v>52210</v>
      </c>
      <c r="E84" s="23" t="n">
        <v>56758</v>
      </c>
      <c r="F84" s="18" t="n">
        <v>56339</v>
      </c>
      <c r="G84" s="19" t="n">
        <v>55167</v>
      </c>
      <c r="H84" s="18" t="n">
        <v>3061</v>
      </c>
      <c r="I84" s="18" t="n">
        <v>-832</v>
      </c>
      <c r="J84" s="18" t="n">
        <v>46</v>
      </c>
      <c r="K84" s="20" t="n"/>
      <c r="L84" s="20" t="n"/>
      <c r="M84" s="20" t="n"/>
      <c r="N84" s="20" t="n"/>
      <c r="O84" s="18" t="n">
        <v>7587</v>
      </c>
      <c r="P84" s="18" t="n">
        <v>1692</v>
      </c>
      <c r="Q84" s="18" t="n">
        <v>75</v>
      </c>
      <c r="R84" s="18" t="n">
        <v>35</v>
      </c>
      <c r="S84" s="18" t="n">
        <v>8603</v>
      </c>
      <c r="T84" s="18" t="n">
        <v>1628</v>
      </c>
      <c r="U84" s="18" t="n">
        <v>75</v>
      </c>
      <c r="V84" s="18" t="n">
        <v>37</v>
      </c>
    </row>
    <row r="85" ht="30" customHeight="1">
      <c r="A85" s="4" t="inlineStr">
        <is>
          <t>CNAE</t>
        </is>
      </c>
      <c r="B85" t="n">
        <v>46842</v>
      </c>
      <c r="C85" s="12" t="inlineStr">
        <is>
          <t>Comércio atacadista de produtos químicos e petroquímicos, exceto agroquímicos</t>
        </is>
      </c>
      <c r="D85" s="23" t="n">
        <v>16654</v>
      </c>
      <c r="E85" s="23" t="n">
        <v>17825</v>
      </c>
      <c r="F85" s="18" t="n">
        <v>18466</v>
      </c>
      <c r="G85" s="19" t="n">
        <v>18530</v>
      </c>
      <c r="H85" s="18" t="n">
        <v>597</v>
      </c>
      <c r="I85" s="18" t="n">
        <v>529</v>
      </c>
      <c r="J85" s="18" t="n">
        <v>440</v>
      </c>
      <c r="K85" s="20" t="n"/>
      <c r="L85" s="20" t="n"/>
      <c r="M85" s="20" t="n"/>
      <c r="N85" s="20" t="n"/>
      <c r="O85" s="18" t="n">
        <v>2782</v>
      </c>
      <c r="P85" s="18" t="n">
        <v>375</v>
      </c>
      <c r="Q85" s="18" t="n">
        <v>40</v>
      </c>
      <c r="R85" s="18" t="n">
        <v>17</v>
      </c>
      <c r="S85" s="18" t="n">
        <v>3001</v>
      </c>
      <c r="T85" s="18" t="n">
        <v>392</v>
      </c>
      <c r="U85" s="18" t="n">
        <v>42</v>
      </c>
      <c r="V85" s="18" t="n">
        <v>20</v>
      </c>
    </row>
    <row r="86" ht="30" customHeight="1">
      <c r="A86" s="4" t="inlineStr">
        <is>
          <t>CNAE</t>
        </is>
      </c>
      <c r="B86" t="n">
        <v>46851</v>
      </c>
      <c r="C86" s="12" t="inlineStr">
        <is>
          <t>Comércio atacadista de produtos siderúrgicos e metalúrgicos, exceto para construção</t>
        </is>
      </c>
      <c r="D86" s="23" t="n">
        <v>17203</v>
      </c>
      <c r="E86" s="23" t="n">
        <v>17731</v>
      </c>
      <c r="F86" s="18" t="n">
        <v>19481</v>
      </c>
      <c r="G86" s="19" t="n">
        <v>19065</v>
      </c>
      <c r="H86" s="18" t="n">
        <v>594</v>
      </c>
      <c r="I86" s="18" t="n">
        <v>838</v>
      </c>
      <c r="J86" s="18" t="n">
        <v>627</v>
      </c>
      <c r="K86" s="20" t="n"/>
      <c r="L86" s="20" t="n"/>
      <c r="M86" s="20" t="n"/>
      <c r="N86" s="20" t="n"/>
      <c r="O86" s="18" t="n">
        <v>1840</v>
      </c>
      <c r="P86" s="18" t="n">
        <v>335</v>
      </c>
      <c r="Q86" s="18" t="n">
        <v>52</v>
      </c>
      <c r="R86" s="18" t="n">
        <v>25</v>
      </c>
      <c r="S86" s="18" t="n">
        <v>2011</v>
      </c>
      <c r="T86" s="18" t="n">
        <v>358</v>
      </c>
      <c r="U86" s="18" t="n">
        <v>52</v>
      </c>
      <c r="V86" s="18" t="n">
        <v>28</v>
      </c>
    </row>
    <row r="87" ht="30" customHeight="1">
      <c r="A87" s="4" t="inlineStr">
        <is>
          <t>CNAE</t>
        </is>
      </c>
      <c r="B87" t="n">
        <v>46869</v>
      </c>
      <c r="C87" s="12" t="inlineStr">
        <is>
          <t>Comércio atacadista de papel e papelão em bruto e de embalagens</t>
        </is>
      </c>
      <c r="D87" s="23" t="n">
        <v>31256</v>
      </c>
      <c r="E87" s="23" t="n">
        <v>33265</v>
      </c>
      <c r="F87" s="18" t="n">
        <v>34436</v>
      </c>
      <c r="G87" s="19" t="n">
        <v>36845</v>
      </c>
      <c r="H87" s="18" t="n">
        <v>1820</v>
      </c>
      <c r="I87" s="18" t="n">
        <v>1755</v>
      </c>
      <c r="J87" s="18" t="n">
        <v>1744</v>
      </c>
      <c r="K87" s="20" t="n"/>
      <c r="L87" s="20" t="n"/>
      <c r="M87" s="20" t="n"/>
      <c r="N87" s="20" t="n"/>
      <c r="O87" s="18" t="n">
        <v>7547</v>
      </c>
      <c r="P87" s="18" t="n">
        <v>811</v>
      </c>
      <c r="Q87" s="18" t="n">
        <v>59</v>
      </c>
      <c r="R87" s="18" t="n">
        <v>19</v>
      </c>
      <c r="S87" s="18" t="n">
        <v>8361</v>
      </c>
      <c r="T87" s="18" t="n">
        <v>804</v>
      </c>
      <c r="U87" s="18" t="n">
        <v>66</v>
      </c>
      <c r="V87" s="18" t="n">
        <v>23</v>
      </c>
    </row>
    <row r="88">
      <c r="A88" s="4" t="inlineStr">
        <is>
          <t>CNAE</t>
        </is>
      </c>
      <c r="B88" t="n">
        <v>46877</v>
      </c>
      <c r="C88" s="12" t="inlineStr">
        <is>
          <t>Comércio atacadista de resíduos e sucatas</t>
        </is>
      </c>
      <c r="D88" s="23" t="n">
        <v>54522</v>
      </c>
      <c r="E88" s="23" t="n">
        <v>52234</v>
      </c>
      <c r="F88" s="18" t="n">
        <v>52686</v>
      </c>
      <c r="G88" s="19" t="n">
        <v>55104</v>
      </c>
      <c r="H88" s="18" t="n">
        <v>-2116</v>
      </c>
      <c r="I88" s="18" t="n">
        <v>729</v>
      </c>
      <c r="J88" s="18" t="n">
        <v>2158</v>
      </c>
      <c r="K88" s="20" t="n"/>
      <c r="L88" s="20" t="n"/>
      <c r="M88" s="20" t="n"/>
      <c r="N88" s="20" t="n"/>
      <c r="O88" s="18" t="n">
        <v>11113</v>
      </c>
      <c r="P88" s="18" t="n">
        <v>1305</v>
      </c>
      <c r="Q88" s="18" t="n">
        <v>88</v>
      </c>
      <c r="R88" s="18" t="n">
        <v>34</v>
      </c>
      <c r="S88" s="18" t="n">
        <v>11849</v>
      </c>
      <c r="T88" s="18" t="n">
        <v>1315</v>
      </c>
      <c r="U88" s="18" t="n">
        <v>87</v>
      </c>
      <c r="V88" s="18" t="n">
        <v>31</v>
      </c>
    </row>
    <row r="89" ht="30" customHeight="1">
      <c r="A89" s="4" t="inlineStr">
        <is>
          <t>CNAE</t>
        </is>
      </c>
      <c r="B89" t="n">
        <v>46893</v>
      </c>
      <c r="C89" s="12" t="inlineStr">
        <is>
          <t>Comércio atacadista especializado de outros produtos intermediários não especificados anteriormente</t>
        </is>
      </c>
      <c r="D89" s="23" t="n">
        <v>46724</v>
      </c>
      <c r="E89" s="23" t="n">
        <v>46572</v>
      </c>
      <c r="F89" s="18" t="n">
        <v>47189</v>
      </c>
      <c r="G89" s="19" t="n">
        <v>49456</v>
      </c>
      <c r="H89" s="18" t="n">
        <v>1496</v>
      </c>
      <c r="I89" s="18" t="n">
        <v>1527</v>
      </c>
      <c r="J89" s="18" t="n">
        <v>1195</v>
      </c>
      <c r="K89" s="20" t="n"/>
      <c r="L89" s="20" t="n"/>
      <c r="M89" s="20" t="n"/>
      <c r="N89" s="20" t="n"/>
      <c r="O89" s="18" t="n">
        <v>8096</v>
      </c>
      <c r="P89" s="18" t="n">
        <v>783</v>
      </c>
      <c r="Q89" s="18" t="n">
        <v>83</v>
      </c>
      <c r="R89" s="18" t="n">
        <v>51</v>
      </c>
      <c r="S89" s="18" t="n">
        <v>8585</v>
      </c>
      <c r="T89" s="18" t="n">
        <v>777</v>
      </c>
      <c r="U89" s="18" t="n">
        <v>77</v>
      </c>
      <c r="V89" s="18" t="n">
        <v>53</v>
      </c>
    </row>
    <row r="90">
      <c r="A90" s="4" t="inlineStr">
        <is>
          <t>CNAE</t>
        </is>
      </c>
      <c r="B90" t="n">
        <v>47237</v>
      </c>
      <c r="C90" s="12" t="inlineStr">
        <is>
          <t>Comércio varejista de bebidas</t>
        </is>
      </c>
      <c r="D90" s="23" t="n">
        <v>58849</v>
      </c>
      <c r="E90" s="23" t="n">
        <v>61160</v>
      </c>
      <c r="F90" s="18" t="n">
        <v>64058</v>
      </c>
      <c r="G90" s="19" t="n">
        <v>65551</v>
      </c>
      <c r="H90" s="18" t="n">
        <v>4188</v>
      </c>
      <c r="I90" s="18" t="n">
        <v>2302</v>
      </c>
      <c r="J90" s="18" t="n">
        <v>1539</v>
      </c>
      <c r="K90" s="20" t="n"/>
      <c r="L90" s="20" t="n"/>
      <c r="M90" s="20" t="n"/>
      <c r="N90" s="20" t="n"/>
      <c r="O90" s="18" t="n">
        <v>56321</v>
      </c>
      <c r="P90" s="18" t="n">
        <v>883</v>
      </c>
      <c r="Q90" s="18" t="n">
        <v>58</v>
      </c>
      <c r="R90" s="18" t="n">
        <v>17</v>
      </c>
      <c r="S90" s="18" t="n">
        <v>63705</v>
      </c>
      <c r="T90" s="18" t="n">
        <v>987</v>
      </c>
      <c r="U90" s="18" t="n">
        <v>59</v>
      </c>
      <c r="V90" s="18" t="n">
        <v>19</v>
      </c>
    </row>
    <row r="91">
      <c r="A91" s="4" t="inlineStr">
        <is>
          <t>CNAE</t>
        </is>
      </c>
      <c r="B91" t="n">
        <v>47423</v>
      </c>
      <c r="C91" s="12" t="inlineStr">
        <is>
          <t>Comércio varejista de material elétrico</t>
        </is>
      </c>
      <c r="D91" s="23" t="n">
        <v>64964</v>
      </c>
      <c r="E91" s="23" t="n">
        <v>65458</v>
      </c>
      <c r="F91" s="18" t="n">
        <v>67989</v>
      </c>
      <c r="G91" s="19" t="n">
        <v>69444</v>
      </c>
      <c r="H91" s="18" t="n">
        <v>1755</v>
      </c>
      <c r="I91" s="18" t="n">
        <v>2813</v>
      </c>
      <c r="J91" s="18" t="n">
        <v>1122</v>
      </c>
      <c r="K91" s="20" t="n"/>
      <c r="L91" s="20" t="n"/>
      <c r="M91" s="20" t="n"/>
      <c r="N91" s="20" t="n"/>
      <c r="O91" s="18" t="n">
        <v>24394</v>
      </c>
      <c r="P91" s="18" t="n">
        <v>1470</v>
      </c>
      <c r="Q91" s="18" t="n">
        <v>78</v>
      </c>
      <c r="R91" s="18" t="n">
        <v>21</v>
      </c>
      <c r="S91" s="18" t="n">
        <v>26957</v>
      </c>
      <c r="T91" s="18" t="n">
        <v>1493</v>
      </c>
      <c r="U91" s="18" t="n">
        <v>82</v>
      </c>
      <c r="V91" s="18" t="n">
        <v>26</v>
      </c>
    </row>
    <row r="92">
      <c r="A92" s="4" t="inlineStr">
        <is>
          <t>CNAE</t>
        </is>
      </c>
      <c r="B92" t="n">
        <v>47431</v>
      </c>
      <c r="C92" s="12" t="inlineStr">
        <is>
          <t>Comércio varejista de vidros</t>
        </is>
      </c>
      <c r="D92" s="23" t="n">
        <v>37973</v>
      </c>
      <c r="E92" s="23" t="n">
        <v>37379</v>
      </c>
      <c r="F92" s="18" t="n">
        <v>37584</v>
      </c>
      <c r="G92" s="19" t="n">
        <v>38516</v>
      </c>
      <c r="H92" s="18" t="n">
        <v>-109</v>
      </c>
      <c r="I92" s="18" t="n">
        <v>343</v>
      </c>
      <c r="J92" s="18" t="n">
        <v>502</v>
      </c>
      <c r="K92" s="20" t="n"/>
      <c r="L92" s="20" t="n"/>
      <c r="M92" s="20" t="n"/>
      <c r="N92" s="20" t="n"/>
      <c r="O92" s="18" t="n">
        <v>15613</v>
      </c>
      <c r="P92" s="18" t="n">
        <v>781</v>
      </c>
      <c r="Q92" s="18" t="n">
        <v>18</v>
      </c>
      <c r="R92" s="18" t="n">
        <v>5</v>
      </c>
      <c r="S92" s="18" t="n">
        <v>16992</v>
      </c>
      <c r="T92" s="18" t="n">
        <v>770</v>
      </c>
      <c r="U92" s="18" t="n">
        <v>23</v>
      </c>
      <c r="V92" s="18" t="n">
        <v>5</v>
      </c>
    </row>
    <row r="93" ht="30" customHeight="1">
      <c r="A93" s="4" t="inlineStr">
        <is>
          <t>CNAE</t>
        </is>
      </c>
      <c r="B93" t="n">
        <v>47440</v>
      </c>
      <c r="C93" s="12" t="inlineStr">
        <is>
          <t>Comércio varejista de ferragens, madeira e materiais de construção</t>
        </is>
      </c>
      <c r="D93" s="23" t="n">
        <v>664255</v>
      </c>
      <c r="E93" s="23" t="n">
        <v>663564</v>
      </c>
      <c r="F93" s="18" t="n">
        <v>668488</v>
      </c>
      <c r="G93" s="19" t="n">
        <v>681864</v>
      </c>
      <c r="H93" s="18" t="n">
        <v>6320</v>
      </c>
      <c r="I93" s="18" t="n">
        <v>10587</v>
      </c>
      <c r="J93" s="18" t="n">
        <v>7776</v>
      </c>
      <c r="K93" s="20" t="n"/>
      <c r="L93" s="20" t="n"/>
      <c r="M93" s="20" t="n"/>
      <c r="N93" s="20" t="n"/>
      <c r="O93" s="18" t="n">
        <v>189505</v>
      </c>
      <c r="P93" s="18" t="n">
        <v>15458</v>
      </c>
      <c r="Q93" s="18" t="n">
        <v>596</v>
      </c>
      <c r="R93" s="18" t="n">
        <v>267</v>
      </c>
      <c r="S93" s="18" t="n">
        <v>204318</v>
      </c>
      <c r="T93" s="18" t="n">
        <v>15583</v>
      </c>
      <c r="U93" s="18" t="n">
        <v>630</v>
      </c>
      <c r="V93" s="18" t="n">
        <v>265</v>
      </c>
    </row>
    <row r="94" ht="30" customHeight="1">
      <c r="A94" s="4" t="inlineStr">
        <is>
          <t>CNAE</t>
        </is>
      </c>
      <c r="B94" t="n">
        <v>47512</v>
      </c>
      <c r="C94" s="12" t="inlineStr">
        <is>
          <t>Comércio varejista especializado de equipamentos e suprimentos de informática</t>
        </is>
      </c>
      <c r="D94" s="23" t="n">
        <v>115077</v>
      </c>
      <c r="E94" s="23" t="n">
        <v>111672</v>
      </c>
      <c r="F94" s="18" t="n">
        <v>110647</v>
      </c>
      <c r="G94" s="19" t="n">
        <v>108627</v>
      </c>
      <c r="H94" s="18" t="n">
        <v>-523</v>
      </c>
      <c r="I94" s="18" t="n">
        <v>-834</v>
      </c>
      <c r="J94" s="18" t="n">
        <v>-1273</v>
      </c>
      <c r="K94" s="20" t="n"/>
      <c r="L94" s="20" t="n"/>
      <c r="M94" s="20" t="n"/>
      <c r="N94" s="20" t="n"/>
      <c r="O94" s="18" t="n">
        <v>48253</v>
      </c>
      <c r="P94" s="18" t="n">
        <v>1871</v>
      </c>
      <c r="Q94" s="18" t="n">
        <v>111</v>
      </c>
      <c r="R94" s="18" t="n">
        <v>45</v>
      </c>
      <c r="S94" s="18" t="n">
        <v>51987</v>
      </c>
      <c r="T94" s="18" t="n">
        <v>1838</v>
      </c>
      <c r="U94" s="18" t="n">
        <v>101</v>
      </c>
      <c r="V94" s="18" t="n">
        <v>54</v>
      </c>
    </row>
    <row r="95" ht="30" customHeight="1">
      <c r="A95" s="4" t="inlineStr">
        <is>
          <t>CNAE</t>
        </is>
      </c>
      <c r="B95" t="n">
        <v>47521</v>
      </c>
      <c r="C95" s="12" t="inlineStr">
        <is>
          <t>Comércio varejista especializado de equipamentos de telefonia e comunicação</t>
        </is>
      </c>
      <c r="D95" s="23" t="n">
        <v>78296</v>
      </c>
      <c r="E95" s="23" t="n">
        <v>83045</v>
      </c>
      <c r="F95" s="18" t="n">
        <v>84315</v>
      </c>
      <c r="G95" s="19" t="n">
        <v>79553</v>
      </c>
      <c r="H95" s="18" t="n">
        <v>1740</v>
      </c>
      <c r="I95" s="18" t="n">
        <v>475</v>
      </c>
      <c r="J95" s="18" t="n">
        <v>-154</v>
      </c>
      <c r="K95" s="20" t="n"/>
      <c r="L95" s="20" t="n"/>
      <c r="M95" s="20" t="n"/>
      <c r="N95" s="20" t="n"/>
      <c r="O95" s="18" t="n">
        <v>37393</v>
      </c>
      <c r="P95" s="18" t="n">
        <v>1409</v>
      </c>
      <c r="Q95" s="18" t="n">
        <v>56</v>
      </c>
      <c r="R95" s="18" t="n">
        <v>24</v>
      </c>
      <c r="S95" s="18" t="n">
        <v>42404</v>
      </c>
      <c r="T95" s="18" t="n">
        <v>1454</v>
      </c>
      <c r="U95" s="18" t="n">
        <v>63</v>
      </c>
      <c r="V95" s="18" t="n">
        <v>25</v>
      </c>
    </row>
    <row r="96" ht="30" customHeight="1">
      <c r="A96" s="4" t="inlineStr">
        <is>
          <t>CNAE</t>
        </is>
      </c>
      <c r="B96" t="n">
        <v>47539</v>
      </c>
      <c r="C96" s="12" t="inlineStr">
        <is>
          <t>Comércio varejista especializado de eletrodomésticos e equipamentos de áudio e vídeo</t>
        </is>
      </c>
      <c r="D96" s="23" t="n">
        <v>161792</v>
      </c>
      <c r="E96" s="23" t="n">
        <v>154322</v>
      </c>
      <c r="F96" s="18" t="n">
        <v>148889</v>
      </c>
      <c r="G96" s="19" t="n">
        <v>147434</v>
      </c>
      <c r="H96" s="18" t="n">
        <v>-7384</v>
      </c>
      <c r="I96" s="18" t="n">
        <v>-3035</v>
      </c>
      <c r="J96" s="18" t="n">
        <v>-1662</v>
      </c>
      <c r="K96" s="20" t="n"/>
      <c r="L96" s="20" t="n"/>
      <c r="M96" s="20" t="n"/>
      <c r="N96" s="20" t="n"/>
      <c r="O96" s="18" t="n">
        <v>28826</v>
      </c>
      <c r="P96" s="18" t="n">
        <v>4676</v>
      </c>
      <c r="Q96" s="18" t="n">
        <v>167</v>
      </c>
      <c r="R96" s="18" t="n">
        <v>49</v>
      </c>
      <c r="S96" s="18" t="n">
        <v>31550</v>
      </c>
      <c r="T96" s="18" t="n">
        <v>4682</v>
      </c>
      <c r="U96" s="18" t="n">
        <v>147</v>
      </c>
      <c r="V96" s="18" t="n">
        <v>49</v>
      </c>
    </row>
    <row r="97" ht="30" customHeight="1">
      <c r="A97" s="4" t="inlineStr">
        <is>
          <t>CNAE</t>
        </is>
      </c>
      <c r="B97" t="n">
        <v>47547</v>
      </c>
      <c r="C97" s="12" t="inlineStr">
        <is>
          <t>Comércio varejista especializado de móveis, colchoaria e artigos de iluminação</t>
        </is>
      </c>
      <c r="D97" s="23" t="n">
        <v>220027</v>
      </c>
      <c r="E97" s="23" t="n">
        <v>216348</v>
      </c>
      <c r="F97" s="18" t="n">
        <v>217945</v>
      </c>
      <c r="G97" s="19" t="n">
        <v>220769</v>
      </c>
      <c r="H97" s="18" t="n">
        <v>-2044</v>
      </c>
      <c r="I97" s="18" t="n">
        <v>3338</v>
      </c>
      <c r="J97" s="18" t="n">
        <v>1016</v>
      </c>
      <c r="K97" s="20" t="n"/>
      <c r="L97" s="20" t="n"/>
      <c r="M97" s="20" t="n"/>
      <c r="N97" s="20" t="n"/>
      <c r="O97" s="18" t="n">
        <v>76262</v>
      </c>
      <c r="P97" s="18" t="n">
        <v>4943</v>
      </c>
      <c r="Q97" s="18" t="n">
        <v>104</v>
      </c>
      <c r="R97" s="18" t="n">
        <v>44</v>
      </c>
      <c r="S97" s="18" t="n">
        <v>81192</v>
      </c>
      <c r="T97" s="18" t="n">
        <v>4979</v>
      </c>
      <c r="U97" s="18" t="n">
        <v>114</v>
      </c>
      <c r="V97" s="18" t="n">
        <v>37</v>
      </c>
    </row>
    <row r="98" ht="30" customHeight="1">
      <c r="A98" s="4" t="inlineStr">
        <is>
          <t>CNAE</t>
        </is>
      </c>
      <c r="B98" t="n">
        <v>47555</v>
      </c>
      <c r="C98" s="12" t="inlineStr">
        <is>
          <t>Comércio varejista especializado de tecidos e artigos de cama, mesa e banho</t>
        </is>
      </c>
      <c r="D98" s="23" t="n">
        <v>107207</v>
      </c>
      <c r="E98" s="23" t="n">
        <v>106954</v>
      </c>
      <c r="F98" s="18" t="n">
        <v>106809</v>
      </c>
      <c r="G98" s="19" t="n">
        <v>107109</v>
      </c>
      <c r="H98" s="18" t="n">
        <v>284</v>
      </c>
      <c r="I98" s="18" t="n">
        <v>486</v>
      </c>
      <c r="J98" s="18" t="n">
        <v>-56</v>
      </c>
      <c r="K98" s="20" t="n"/>
      <c r="L98" s="20" t="n"/>
      <c r="M98" s="20" t="n"/>
      <c r="N98" s="20" t="n"/>
      <c r="O98" s="18" t="n">
        <v>46148</v>
      </c>
      <c r="P98" s="18" t="n">
        <v>2387</v>
      </c>
      <c r="Q98" s="18" t="n">
        <v>62</v>
      </c>
      <c r="R98" s="18" t="n">
        <v>15</v>
      </c>
      <c r="S98" s="18" t="n">
        <v>50325</v>
      </c>
      <c r="T98" s="18" t="n">
        <v>2381</v>
      </c>
      <c r="U98" s="18" t="n">
        <v>63</v>
      </c>
      <c r="V98" s="18" t="n">
        <v>17</v>
      </c>
    </row>
    <row r="99" ht="30" customHeight="1">
      <c r="A99" s="4" t="inlineStr">
        <is>
          <t>CNAE</t>
        </is>
      </c>
      <c r="B99" t="n">
        <v>47563</v>
      </c>
      <c r="C99" s="12" t="inlineStr">
        <is>
          <t>Comércio varejista especializado de instrumentos musicais e acessórios</t>
        </is>
      </c>
      <c r="D99" s="23" t="n">
        <v>4779</v>
      </c>
      <c r="E99" s="23" t="n">
        <v>4644</v>
      </c>
      <c r="F99" s="18" t="n">
        <v>4663</v>
      </c>
      <c r="G99" s="19" t="n">
        <v>4586</v>
      </c>
      <c r="H99" s="18" t="n">
        <v>-204</v>
      </c>
      <c r="I99" s="18" t="n">
        <v>46</v>
      </c>
      <c r="J99" s="18" t="n">
        <v>-72</v>
      </c>
      <c r="K99" s="20" t="n"/>
      <c r="L99" s="20" t="n"/>
      <c r="M99" s="20" t="n"/>
      <c r="N99" s="20" t="n"/>
      <c r="O99" s="18" t="n">
        <v>3176</v>
      </c>
      <c r="P99" s="18" t="n">
        <v>69</v>
      </c>
      <c r="Q99" s="18" t="n">
        <v>0</v>
      </c>
      <c r="R99" s="18" t="n">
        <v>1</v>
      </c>
      <c r="S99" s="18" t="n">
        <v>3383</v>
      </c>
      <c r="T99" s="18" t="n">
        <v>70</v>
      </c>
      <c r="U99" s="18" t="n">
        <v>0</v>
      </c>
      <c r="V99" s="18" t="n">
        <v>1</v>
      </c>
    </row>
    <row r="100" ht="45" customHeight="1">
      <c r="A100" s="4" t="inlineStr">
        <is>
          <t>CNAE</t>
        </is>
      </c>
      <c r="B100" t="n">
        <v>47571</v>
      </c>
      <c r="C100" s="12" t="inlineStr">
        <is>
          <t>Comércio varejista especializado de peças e acessórios para aparelhos eletroeletrônicos para uso doméstico, exceto informática e comunicação</t>
        </is>
      </c>
      <c r="D100" s="23" t="n">
        <v>31737</v>
      </c>
      <c r="E100" s="23" t="n">
        <v>33213</v>
      </c>
      <c r="F100" s="18" t="n">
        <v>34791</v>
      </c>
      <c r="G100" s="19" t="n">
        <v>35829</v>
      </c>
      <c r="H100" s="18" t="n">
        <v>1523</v>
      </c>
      <c r="I100" s="18" t="n">
        <v>1689</v>
      </c>
      <c r="J100" s="18" t="n">
        <v>907</v>
      </c>
      <c r="K100" s="20" t="n"/>
      <c r="L100" s="20" t="n"/>
      <c r="M100" s="20" t="n"/>
      <c r="N100" s="20" t="n"/>
      <c r="O100" s="18" t="n">
        <v>16705</v>
      </c>
      <c r="P100" s="18" t="n">
        <v>613</v>
      </c>
      <c r="Q100" s="18" t="n">
        <v>30</v>
      </c>
      <c r="R100" s="18" t="n">
        <v>11</v>
      </c>
      <c r="S100" s="18" t="n">
        <v>19140</v>
      </c>
      <c r="T100" s="18" t="n">
        <v>637</v>
      </c>
      <c r="U100" s="18" t="n">
        <v>30</v>
      </c>
      <c r="V100" s="18" t="n">
        <v>7</v>
      </c>
    </row>
    <row r="101" ht="30" customHeight="1">
      <c r="A101" s="4" t="inlineStr">
        <is>
          <t>CNAE</t>
        </is>
      </c>
      <c r="B101" t="n">
        <v>47598</v>
      </c>
      <c r="C101" s="12" t="inlineStr">
        <is>
          <t>Comércio varejista de artigos de uso doméstico não especificados anteriormente</t>
        </is>
      </c>
      <c r="D101" s="23" t="n">
        <v>91305</v>
      </c>
      <c r="E101" s="23" t="n">
        <v>93656</v>
      </c>
      <c r="F101" s="18" t="n">
        <v>95214</v>
      </c>
      <c r="G101" s="19" t="n">
        <v>98424</v>
      </c>
      <c r="H101" s="18" t="n">
        <v>3276</v>
      </c>
      <c r="I101" s="18" t="n">
        <v>2867</v>
      </c>
      <c r="J101" s="18" t="n">
        <v>2472</v>
      </c>
      <c r="K101" s="20" t="n"/>
      <c r="L101" s="20" t="n"/>
      <c r="M101" s="20" t="n"/>
      <c r="N101" s="20" t="n"/>
      <c r="O101" s="18" t="n">
        <v>33119</v>
      </c>
      <c r="P101" s="18" t="n">
        <v>2109</v>
      </c>
      <c r="Q101" s="18" t="n">
        <v>75</v>
      </c>
      <c r="R101" s="18" t="n">
        <v>28</v>
      </c>
      <c r="S101" s="18" t="n">
        <v>36750</v>
      </c>
      <c r="T101" s="18" t="n">
        <v>2167</v>
      </c>
      <c r="U101" s="18" t="n">
        <v>85</v>
      </c>
      <c r="V101" s="18" t="n">
        <v>25</v>
      </c>
    </row>
    <row r="102">
      <c r="A102" s="4" t="inlineStr">
        <is>
          <t>CNAE</t>
        </is>
      </c>
      <c r="B102" t="n">
        <v>47636</v>
      </c>
      <c r="C102" s="12" t="inlineStr">
        <is>
          <t>Comércio varejista de artigos recreativos e esportivos</t>
        </is>
      </c>
      <c r="D102" s="23" t="n">
        <v>86223</v>
      </c>
      <c r="E102" s="23" t="n">
        <v>86037</v>
      </c>
      <c r="F102" s="18" t="n">
        <v>88055</v>
      </c>
      <c r="G102" s="19" t="n">
        <v>90706</v>
      </c>
      <c r="H102" s="18" t="n">
        <v>-946</v>
      </c>
      <c r="I102" s="18" t="n">
        <v>2323</v>
      </c>
      <c r="J102" s="18" t="n">
        <v>2138</v>
      </c>
      <c r="K102" s="20" t="n"/>
      <c r="L102" s="20" t="n"/>
      <c r="M102" s="20" t="n"/>
      <c r="N102" s="20" t="n"/>
      <c r="O102" s="18" t="n">
        <v>42171</v>
      </c>
      <c r="P102" s="18" t="n">
        <v>1825</v>
      </c>
      <c r="Q102" s="18" t="n">
        <v>27</v>
      </c>
      <c r="R102" s="18" t="n">
        <v>13</v>
      </c>
      <c r="S102" s="18" t="n">
        <v>46187</v>
      </c>
      <c r="T102" s="18" t="n">
        <v>1872</v>
      </c>
      <c r="U102" s="18" t="n">
        <v>41</v>
      </c>
      <c r="V102" s="18" t="n">
        <v>15</v>
      </c>
    </row>
    <row r="103" ht="30" customHeight="1">
      <c r="A103" s="4" t="inlineStr">
        <is>
          <t>CNAE</t>
        </is>
      </c>
      <c r="B103" t="n">
        <v>47725</v>
      </c>
      <c r="C103" s="12" t="inlineStr">
        <is>
          <t>Comércio varejista de cosméticos, produtos de perfumaria e de higiene pessoal</t>
        </is>
      </c>
      <c r="D103" s="23" t="n">
        <v>118099</v>
      </c>
      <c r="E103" s="23" t="n">
        <v>125773</v>
      </c>
      <c r="F103" s="18" t="n">
        <v>138588</v>
      </c>
      <c r="G103" s="19" t="n">
        <v>142856</v>
      </c>
      <c r="H103" s="18" t="n">
        <v>7593</v>
      </c>
      <c r="I103" s="18" t="n">
        <v>11760</v>
      </c>
      <c r="J103" s="18" t="n">
        <v>5223</v>
      </c>
      <c r="K103" s="20" t="n"/>
      <c r="L103" s="20" t="n"/>
      <c r="M103" s="20" t="n"/>
      <c r="N103" s="20" t="n"/>
      <c r="O103" s="18" t="n">
        <v>53006</v>
      </c>
      <c r="P103" s="18" t="n">
        <v>2546</v>
      </c>
      <c r="Q103" s="18" t="n">
        <v>79</v>
      </c>
      <c r="R103" s="18" t="n">
        <v>21</v>
      </c>
      <c r="S103" s="18" t="n">
        <v>59503</v>
      </c>
      <c r="T103" s="18" t="n">
        <v>2845</v>
      </c>
      <c r="U103" s="18" t="n">
        <v>100</v>
      </c>
      <c r="V103" s="18" t="n">
        <v>32</v>
      </c>
    </row>
    <row r="104">
      <c r="A104" s="4" t="inlineStr">
        <is>
          <t>CNAE</t>
        </is>
      </c>
      <c r="B104" t="n">
        <v>47733</v>
      </c>
      <c r="C104" s="12" t="inlineStr">
        <is>
          <t>Comércio varejista de artigos médicos e ortopédicos</t>
        </is>
      </c>
      <c r="D104" s="23" t="n">
        <v>20398</v>
      </c>
      <c r="E104" s="23" t="n">
        <v>20552</v>
      </c>
      <c r="F104" s="18" t="n">
        <v>20688</v>
      </c>
      <c r="G104" s="19" t="n">
        <v>20808</v>
      </c>
      <c r="H104" s="18" t="n">
        <v>334</v>
      </c>
      <c r="I104" s="18" t="n">
        <v>351</v>
      </c>
      <c r="J104" s="18" t="n">
        <v>96</v>
      </c>
      <c r="K104" s="20" t="n"/>
      <c r="L104" s="20" t="n"/>
      <c r="M104" s="20" t="n"/>
      <c r="N104" s="20" t="n"/>
      <c r="O104" s="18" t="n">
        <v>10686</v>
      </c>
      <c r="P104" s="18" t="n">
        <v>356</v>
      </c>
      <c r="Q104" s="18" t="n">
        <v>17</v>
      </c>
      <c r="R104" s="18" t="n">
        <v>2</v>
      </c>
      <c r="S104" s="18" t="n">
        <v>11449</v>
      </c>
      <c r="T104" s="18" t="n">
        <v>369</v>
      </c>
      <c r="U104" s="18" t="n">
        <v>17</v>
      </c>
      <c r="V104" s="18" t="n">
        <v>3</v>
      </c>
    </row>
    <row r="105">
      <c r="A105" s="4" t="inlineStr">
        <is>
          <t>CNAE</t>
        </is>
      </c>
      <c r="B105" t="n">
        <v>47741</v>
      </c>
      <c r="C105" s="12" t="inlineStr">
        <is>
          <t>Comércio varejista de artigos de óptica</t>
        </is>
      </c>
      <c r="D105" s="23" t="n">
        <v>90140</v>
      </c>
      <c r="E105" s="23" t="n">
        <v>92408</v>
      </c>
      <c r="F105" s="18" t="n">
        <v>94920</v>
      </c>
      <c r="G105" s="19" t="n">
        <v>95362</v>
      </c>
      <c r="H105" s="18" t="n">
        <v>2128</v>
      </c>
      <c r="I105" s="18" t="n">
        <v>2248</v>
      </c>
      <c r="J105" s="18" t="n">
        <v>1026</v>
      </c>
      <c r="K105" s="20" t="n"/>
      <c r="L105" s="20" t="n"/>
      <c r="M105" s="20" t="n"/>
      <c r="N105" s="20" t="n"/>
      <c r="O105" s="18" t="n">
        <v>43206</v>
      </c>
      <c r="P105" s="18" t="n">
        <v>1039</v>
      </c>
      <c r="Q105" s="18" t="n">
        <v>17</v>
      </c>
      <c r="R105" s="18" t="n">
        <v>1</v>
      </c>
      <c r="S105" s="18" t="n">
        <v>46774</v>
      </c>
      <c r="T105" s="18" t="n">
        <v>1087</v>
      </c>
      <c r="U105" s="18" t="n">
        <v>16</v>
      </c>
      <c r="V105" s="18" t="n">
        <v>0</v>
      </c>
    </row>
    <row r="106">
      <c r="A106" s="4" t="inlineStr">
        <is>
          <t>CNAE</t>
        </is>
      </c>
      <c r="B106" t="n">
        <v>47814</v>
      </c>
      <c r="C106" s="12" t="inlineStr">
        <is>
          <t>Comércio varejista de artigos do vestuário e acessórios</t>
        </is>
      </c>
      <c r="D106" s="23" t="n">
        <v>631858</v>
      </c>
      <c r="E106" s="23" t="n">
        <v>636180</v>
      </c>
      <c r="F106" s="18" t="n">
        <v>642882</v>
      </c>
      <c r="G106" s="19" t="n">
        <v>619059</v>
      </c>
      <c r="H106" s="18" t="n">
        <v>2341</v>
      </c>
      <c r="I106" s="18" t="n">
        <v>6666</v>
      </c>
      <c r="J106" s="18" t="n">
        <v>-22000</v>
      </c>
      <c r="K106" s="20" t="n"/>
      <c r="L106" s="20" t="n"/>
      <c r="M106" s="20" t="n"/>
      <c r="N106" s="20" t="n"/>
      <c r="O106" s="18" t="n">
        <v>274829</v>
      </c>
      <c r="P106" s="18" t="n">
        <v>11985</v>
      </c>
      <c r="Q106" s="18" t="n">
        <v>489</v>
      </c>
      <c r="R106" s="18" t="n">
        <v>99</v>
      </c>
      <c r="S106" s="18" t="n">
        <v>299553</v>
      </c>
      <c r="T106" s="18" t="n">
        <v>12190</v>
      </c>
      <c r="U106" s="18" t="n">
        <v>496</v>
      </c>
      <c r="V106" s="18" t="n">
        <v>107</v>
      </c>
    </row>
    <row r="107">
      <c r="A107" s="4" t="inlineStr">
        <is>
          <t>CNAE</t>
        </is>
      </c>
      <c r="B107" t="n">
        <v>47822</v>
      </c>
      <c r="C107" s="12" t="inlineStr">
        <is>
          <t>Comércio varejista de calçados e artigos de viagem</t>
        </is>
      </c>
      <c r="D107" s="23" t="n">
        <v>178800</v>
      </c>
      <c r="E107" s="23" t="n">
        <v>175961</v>
      </c>
      <c r="F107" s="18" t="n">
        <v>176067</v>
      </c>
      <c r="G107" s="19" t="n">
        <v>169577</v>
      </c>
      <c r="H107" s="18" t="n">
        <v>-258</v>
      </c>
      <c r="I107" s="18" t="n">
        <v>1565</v>
      </c>
      <c r="J107" s="18" t="n">
        <v>-10778</v>
      </c>
      <c r="K107" s="20" t="n"/>
      <c r="L107" s="20" t="n"/>
      <c r="M107" s="20" t="n"/>
      <c r="N107" s="20" t="n"/>
      <c r="O107" s="18" t="n">
        <v>45410</v>
      </c>
      <c r="P107" s="18" t="n">
        <v>4837</v>
      </c>
      <c r="Q107" s="18" t="n">
        <v>99</v>
      </c>
      <c r="R107" s="18" t="n">
        <v>7</v>
      </c>
      <c r="S107" s="18" t="n">
        <v>48999</v>
      </c>
      <c r="T107" s="18" t="n">
        <v>4853</v>
      </c>
      <c r="U107" s="18" t="n">
        <v>83</v>
      </c>
      <c r="V107" s="18" t="n">
        <v>5</v>
      </c>
    </row>
    <row r="108">
      <c r="A108" s="4" t="inlineStr">
        <is>
          <t>CNAE</t>
        </is>
      </c>
      <c r="B108" t="n">
        <v>47831</v>
      </c>
      <c r="C108" s="12" t="inlineStr">
        <is>
          <t>Comércio varejista de jóias e relógios</t>
        </is>
      </c>
      <c r="D108" s="23" t="n">
        <v>39075</v>
      </c>
      <c r="E108" s="23" t="n">
        <v>40287</v>
      </c>
      <c r="F108" s="18" t="n">
        <v>42358</v>
      </c>
      <c r="G108" s="19" t="n">
        <v>42323</v>
      </c>
      <c r="H108" s="18" t="n">
        <v>986</v>
      </c>
      <c r="I108" s="18" t="n">
        <v>2156</v>
      </c>
      <c r="J108" s="18" t="n">
        <v>-59</v>
      </c>
      <c r="K108" s="20" t="n"/>
      <c r="L108" s="20" t="n"/>
      <c r="M108" s="20" t="n"/>
      <c r="N108" s="20" t="n"/>
      <c r="O108" s="18" t="n">
        <v>19230</v>
      </c>
      <c r="P108" s="18" t="n">
        <v>708</v>
      </c>
      <c r="Q108" s="18" t="n">
        <v>7</v>
      </c>
      <c r="R108" s="18" t="n">
        <v>3</v>
      </c>
      <c r="S108" s="18" t="n">
        <v>21187</v>
      </c>
      <c r="T108" s="18" t="n">
        <v>741</v>
      </c>
      <c r="U108" s="18" t="n">
        <v>7</v>
      </c>
      <c r="V108" s="18" t="n">
        <v>3</v>
      </c>
    </row>
    <row r="109">
      <c r="A109" s="4" t="inlineStr">
        <is>
          <t>CNAE</t>
        </is>
      </c>
      <c r="B109" t="n">
        <v>47857</v>
      </c>
      <c r="C109" s="12" t="inlineStr">
        <is>
          <t>Comércio varejista de artigos usados</t>
        </is>
      </c>
      <c r="D109" s="23" t="n">
        <v>8375</v>
      </c>
      <c r="E109" s="23" t="n">
        <v>10168</v>
      </c>
      <c r="F109" s="18" t="n">
        <v>10811</v>
      </c>
      <c r="G109" s="19" t="n">
        <v>10835</v>
      </c>
      <c r="H109" s="18" t="n">
        <v>1785</v>
      </c>
      <c r="I109" s="18" t="n">
        <v>633</v>
      </c>
      <c r="J109" s="18" t="n">
        <v>187</v>
      </c>
      <c r="K109" s="20" t="n"/>
      <c r="L109" s="20" t="n"/>
      <c r="M109" s="20" t="n"/>
      <c r="N109" s="20" t="n"/>
      <c r="O109" s="18" t="n">
        <v>4799</v>
      </c>
      <c r="P109" s="18" t="n">
        <v>229</v>
      </c>
      <c r="Q109" s="18" t="n">
        <v>1</v>
      </c>
      <c r="R109" s="18" t="n">
        <v>1</v>
      </c>
      <c r="S109" s="18" t="n">
        <v>5443</v>
      </c>
      <c r="T109" s="18" t="n">
        <v>208</v>
      </c>
      <c r="U109" s="18" t="n">
        <v>1</v>
      </c>
      <c r="V109" s="18" t="n">
        <v>1</v>
      </c>
    </row>
    <row r="110" ht="30" customHeight="1">
      <c r="A110" s="4" t="inlineStr">
        <is>
          <t>CNAE</t>
        </is>
      </c>
      <c r="B110" t="n">
        <v>47890</v>
      </c>
      <c r="C110" s="12" t="inlineStr">
        <is>
          <t>Comércio varejista de outros produtos novos não especificados anteriormente</t>
        </is>
      </c>
      <c r="D110" s="23" t="n">
        <v>394217</v>
      </c>
      <c r="E110" s="23" t="n">
        <v>390964</v>
      </c>
      <c r="F110" s="18" t="n">
        <v>396548</v>
      </c>
      <c r="G110" s="19" t="n">
        <v>407424</v>
      </c>
      <c r="H110" s="18" t="n">
        <v>4802</v>
      </c>
      <c r="I110" s="18" t="n">
        <v>7518</v>
      </c>
      <c r="J110" s="18" t="n">
        <v>7060</v>
      </c>
      <c r="K110" s="20" t="n"/>
      <c r="L110" s="20" t="n"/>
      <c r="M110" s="20" t="n"/>
      <c r="N110" s="20" t="n"/>
      <c r="O110" s="18" t="n">
        <v>175846</v>
      </c>
      <c r="P110" s="18" t="n">
        <v>7512</v>
      </c>
      <c r="Q110" s="18" t="n">
        <v>240</v>
      </c>
      <c r="R110" s="18" t="n">
        <v>93</v>
      </c>
      <c r="S110" s="18" t="n">
        <v>189974</v>
      </c>
      <c r="T110" s="18" t="n">
        <v>7673</v>
      </c>
      <c r="U110" s="18" t="n">
        <v>268</v>
      </c>
      <c r="V110" s="18" t="n">
        <v>88</v>
      </c>
    </row>
  </sheetData>
  <autoFilter ref="A2:V110">
    <filterColumn colId="7" hiddenButton="0" showButton="0"/>
    <filterColumn colId="8" hiddenButton="0" showButton="0"/>
    <filterColumn colId="10" hiddenButton="0" showButton="0"/>
    <filterColumn colId="11" hiddenButton="0" showButton="0"/>
    <filterColumn colId="12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</autoFilter>
  <mergeCells count="7">
    <mergeCell ref="A4:B4"/>
    <mergeCell ref="S2:V2"/>
    <mergeCell ref="A5:B5"/>
    <mergeCell ref="O2:R2"/>
    <mergeCell ref="K2:N2"/>
    <mergeCell ref="H2:J2"/>
    <mergeCell ref="D1:J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0"/>
  <sheetViews>
    <sheetView tabSelected="1" workbookViewId="0">
      <selection activeCell="C3" sqref="C3"/>
    </sheetView>
  </sheetViews>
  <sheetFormatPr baseColWidth="8" defaultRowHeight="15"/>
  <cols>
    <col width="12.140625" customWidth="1" min="1" max="1"/>
    <col width="12.42578125" customWidth="1" min="2" max="2"/>
    <col width="51.140625" customWidth="1" min="3" max="3"/>
    <col width="13" customWidth="1" style="22" min="4" max="4"/>
    <col width="13.42578125" customWidth="1" style="22" min="5" max="5"/>
    <col width="11.5703125" customWidth="1" min="6" max="7"/>
    <col width="12.42578125" bestFit="1" customWidth="1" min="8" max="8"/>
    <col width="11.5703125" bestFit="1" customWidth="1" min="9" max="9"/>
    <col width="10.85546875" customWidth="1" min="10" max="10"/>
    <col width="15.28515625" customWidth="1" min="11" max="11"/>
    <col width="16.85546875" customWidth="1" min="12" max="12"/>
    <col width="14" customWidth="1" min="13" max="13"/>
    <col width="15.7109375" customWidth="1" min="14" max="14"/>
    <col width="15.28515625" customWidth="1" min="15" max="15"/>
    <col width="16.85546875" customWidth="1" min="16" max="16"/>
    <col width="14" customWidth="1" min="17" max="17"/>
    <col width="15.7109375" customWidth="1" min="18" max="18"/>
    <col width="15.28515625" customWidth="1" min="19" max="19"/>
    <col width="17.85546875" customWidth="1" min="20" max="22"/>
  </cols>
  <sheetData>
    <row r="1">
      <c r="D1" s="32" t="inlineStr">
        <is>
          <t>EMPREGOS</t>
        </is>
      </c>
      <c r="E1" s="36" t="n"/>
      <c r="F1" s="36" t="n"/>
      <c r="G1" s="36" t="n"/>
      <c r="H1" s="36" t="n"/>
      <c r="I1" s="36" t="n"/>
      <c r="J1" s="36" t="n"/>
    </row>
    <row r="2" ht="30" customHeight="1">
      <c r="A2" s="8" t="inlineStr">
        <is>
          <t xml:space="preserve">
CNAE</t>
        </is>
      </c>
      <c r="B2" s="8" t="inlineStr">
        <is>
          <t>Capítulos
CNAE</t>
        </is>
      </c>
      <c r="C2" s="9" t="inlineStr">
        <is>
          <t>SEÇÃO DA NCM / DESCRIÇÃO CNAE</t>
        </is>
      </c>
      <c r="D2" s="25" t="inlineStr">
        <is>
          <t>Estoque
2022</t>
        </is>
      </c>
      <c r="E2" s="25" t="inlineStr">
        <is>
          <t>Estoque
2023</t>
        </is>
      </c>
      <c r="F2" s="33" t="inlineStr">
        <is>
          <t>Estoque
2024</t>
        </is>
      </c>
      <c r="G2" s="33" t="inlineStr">
        <is>
          <t>Estoque
2025</t>
        </is>
      </c>
      <c r="H2" s="8" t="inlineStr">
        <is>
          <t>Saldo</t>
        </is>
      </c>
      <c r="I2" s="37" t="n"/>
      <c r="J2" s="38" t="n"/>
      <c r="K2" s="39" t="inlineStr">
        <is>
          <t>Quantidade de estabelecimentos por porte(RAIS)
(Metodologia Sebrae) 2022</t>
        </is>
      </c>
      <c r="O2" s="39" t="inlineStr">
        <is>
          <t>Quantidade de estabelecimentos por porte(RAIS completa)
(Metodologia Sebrae) 2023</t>
        </is>
      </c>
      <c r="S2" s="39" t="inlineStr">
        <is>
          <t>Quantidade de estabelecimentos por porte(RAIS)
(Metodologia Sebrae) 2024</t>
        </is>
      </c>
    </row>
    <row r="3" ht="30" customHeight="1">
      <c r="A3" s="1" t="n"/>
      <c r="B3" s="2" t="n"/>
      <c r="C3" s="2" t="n"/>
      <c r="D3" s="26" t="n"/>
      <c r="E3" s="26" t="n"/>
      <c r="F3" s="3" t="n"/>
      <c r="G3" s="3" t="n"/>
      <c r="H3" s="6" t="inlineStr">
        <is>
          <t>2023
(jan-dez)</t>
        </is>
      </c>
      <c r="I3" s="6" t="inlineStr">
        <is>
          <t>2024
(jan-dez)</t>
        </is>
      </c>
      <c r="J3" s="6" t="inlineStr">
        <is>
          <t>2025
(jan-dez)</t>
        </is>
      </c>
      <c r="K3" s="10" t="inlineStr">
        <is>
          <t>Microempresa</t>
        </is>
      </c>
      <c r="L3" s="6" t="inlineStr">
        <is>
          <t>Empresa de 
pequeno porte</t>
        </is>
      </c>
      <c r="M3" s="6" t="inlineStr">
        <is>
          <t>Empresa de 
médio porte</t>
        </is>
      </c>
      <c r="N3" s="6" t="inlineStr">
        <is>
          <t>Grande 
empresa</t>
        </is>
      </c>
      <c r="O3" s="10" t="inlineStr">
        <is>
          <t>Microempresa</t>
        </is>
      </c>
      <c r="P3" s="6" t="inlineStr">
        <is>
          <t>Empresa de 
pequeno porte</t>
        </is>
      </c>
      <c r="Q3" s="6" t="inlineStr">
        <is>
          <t>Empresa de 
médio porte</t>
        </is>
      </c>
      <c r="R3" s="6" t="inlineStr">
        <is>
          <t>Grande 
empresa</t>
        </is>
      </c>
      <c r="S3" s="10" t="inlineStr">
        <is>
          <t>Microempresa</t>
        </is>
      </c>
      <c r="T3" s="6" t="inlineStr">
        <is>
          <t>Empresa de 
pequeno porte</t>
        </is>
      </c>
      <c r="U3" s="6" t="inlineStr">
        <is>
          <t>Empresa de 
médio porte</t>
        </is>
      </c>
      <c r="V3" s="6" t="inlineStr">
        <is>
          <t>Grande 
empresa</t>
        </is>
      </c>
    </row>
    <row r="4" ht="28.5" customHeight="1">
      <c r="A4" s="30" t="inlineStr">
        <is>
          <t>TOTAL DE TODAS AS CNAES</t>
        </is>
      </c>
      <c r="C4" s="11" t="n"/>
      <c r="D4" s="24" t="n">
        <v>52790864</v>
      </c>
      <c r="E4" s="24" t="n">
        <v>55316614</v>
      </c>
      <c r="F4" s="16" t="n">
        <v>57132156</v>
      </c>
      <c r="G4" s="21">
        <f>F4+J4</f>
        <v/>
      </c>
      <c r="H4" s="16" t="n">
        <v>1455879</v>
      </c>
      <c r="I4" s="16" t="n">
        <v>1679628</v>
      </c>
      <c r="J4" s="16" t="n">
        <v>1271548</v>
      </c>
      <c r="K4" s="15" t="n"/>
      <c r="L4" s="14" t="n"/>
      <c r="M4" s="14" t="n"/>
      <c r="N4" s="14" t="n"/>
      <c r="O4" s="27" t="n">
        <v>8560543</v>
      </c>
      <c r="P4" s="27" t="n">
        <v>527757</v>
      </c>
      <c r="Q4" s="27" t="n">
        <v>59706</v>
      </c>
      <c r="R4" s="27" t="n">
        <v>37529</v>
      </c>
      <c r="S4" s="27" t="n">
        <v>9625497</v>
      </c>
      <c r="T4" s="27" t="n">
        <v>543945</v>
      </c>
      <c r="U4" s="27" t="n">
        <v>62625</v>
      </c>
      <c r="V4" s="27" t="n">
        <v>39498</v>
      </c>
    </row>
    <row r="5">
      <c r="A5" s="31" t="inlineStr">
        <is>
          <t>TOTAL CANAES ABAIXO</t>
        </is>
      </c>
      <c r="B5" s="36" t="n"/>
      <c r="C5" s="2" t="n"/>
      <c r="D5" s="24">
        <f>SUM(D6:D110)</f>
        <v/>
      </c>
      <c r="E5" s="24">
        <f>SUM(E6:E110)</f>
        <v/>
      </c>
      <c r="F5" s="16">
        <f>SUM(F6:F110)</f>
        <v/>
      </c>
      <c r="G5" s="21">
        <f>SUM(G6:G110)</f>
        <v/>
      </c>
      <c r="H5" s="16">
        <f>SUM(H6:H50)</f>
        <v/>
      </c>
      <c r="I5" s="16">
        <f>SUM(I6:I50)</f>
        <v/>
      </c>
      <c r="J5" s="16">
        <f>SUM(J6:J50)</f>
        <v/>
      </c>
      <c r="K5" s="15" t="n"/>
      <c r="L5" s="14" t="n"/>
      <c r="M5" s="14" t="n"/>
      <c r="N5" s="14" t="n"/>
      <c r="O5" s="17">
        <f>SUM(O6:O50)</f>
        <v/>
      </c>
      <c r="P5" s="17">
        <f>SUM(P6:P50)</f>
        <v/>
      </c>
      <c r="Q5" s="17">
        <f>SUM(Q6:Q50)</f>
        <v/>
      </c>
      <c r="R5" s="17">
        <f>SUM(R6:R50)</f>
        <v/>
      </c>
      <c r="S5" s="17">
        <f>SUM(S6:S50)</f>
        <v/>
      </c>
      <c r="T5" s="17">
        <f>SUM(T6:T50)</f>
        <v/>
      </c>
      <c r="U5" s="17">
        <f>SUM(U6:U50)</f>
        <v/>
      </c>
      <c r="V5" s="17">
        <f>SUM(V6:V50)</f>
        <v/>
      </c>
    </row>
    <row r="6">
      <c r="A6" s="4" t="inlineStr">
        <is>
          <t>CNAE</t>
        </is>
      </c>
      <c r="B6" s="5" t="n">
        <v>141</v>
      </c>
      <c r="C6" s="13" t="inlineStr">
        <is>
          <t>Confecção de artigos do vestuário e acessórios</t>
        </is>
      </c>
      <c r="D6" s="23" t="n">
        <v>526866</v>
      </c>
      <c r="E6" s="23" t="n">
        <v>496512</v>
      </c>
      <c r="F6" s="18" t="n">
        <v>496527</v>
      </c>
      <c r="G6" s="19">
        <f>F6+J6</f>
        <v/>
      </c>
      <c r="H6" s="18" t="n">
        <v>-18092</v>
      </c>
      <c r="I6" s="18" t="n">
        <v>1091</v>
      </c>
      <c r="J6" s="18" t="n">
        <v>-2948</v>
      </c>
      <c r="K6" s="19" t="n"/>
      <c r="L6" s="19" t="n"/>
      <c r="M6" s="19" t="n"/>
      <c r="N6" s="19" t="n"/>
      <c r="O6" s="18" t="n">
        <v>72754</v>
      </c>
      <c r="P6" s="18" t="n">
        <v>5317</v>
      </c>
      <c r="Q6" s="18" t="n">
        <v>515</v>
      </c>
      <c r="R6" s="18" t="n">
        <v>40</v>
      </c>
      <c r="S6" s="18" t="n">
        <v>77357</v>
      </c>
      <c r="T6" s="18" t="n">
        <v>5285</v>
      </c>
      <c r="U6" s="18" t="n">
        <v>510</v>
      </c>
      <c r="V6" s="18" t="n">
        <v>37</v>
      </c>
    </row>
    <row r="7">
      <c r="A7" s="4" t="inlineStr">
        <is>
          <t>CNAE</t>
        </is>
      </c>
      <c r="B7" s="5" t="n">
        <v>142</v>
      </c>
      <c r="C7" s="13" t="inlineStr">
        <is>
          <t>Fabricação de artigos de malharia e tricotagem</t>
        </is>
      </c>
      <c r="D7" s="23" t="n">
        <v>28842</v>
      </c>
      <c r="E7" s="23" t="n">
        <v>26755</v>
      </c>
      <c r="F7" s="18" t="n">
        <v>26255</v>
      </c>
      <c r="G7" s="19">
        <f>F7+J7</f>
        <v/>
      </c>
      <c r="H7" s="18" t="n">
        <v>-1653</v>
      </c>
      <c r="I7" s="18" t="n">
        <v>-643</v>
      </c>
      <c r="J7" s="18" t="n">
        <v>-40</v>
      </c>
      <c r="K7" s="19" t="n"/>
      <c r="L7" s="19" t="n"/>
      <c r="M7" s="19" t="n"/>
      <c r="N7" s="19" t="n"/>
      <c r="O7" s="18" t="n">
        <v>3240</v>
      </c>
      <c r="P7" s="18" t="n">
        <v>217</v>
      </c>
      <c r="Q7" s="18" t="n">
        <v>33</v>
      </c>
      <c r="R7" s="18" t="n">
        <v>4</v>
      </c>
      <c r="S7" s="18" t="n">
        <v>3427</v>
      </c>
      <c r="T7" s="18" t="n">
        <v>220</v>
      </c>
      <c r="U7" s="18" t="n">
        <v>32</v>
      </c>
      <c r="V7" s="18" t="n">
        <v>4</v>
      </c>
    </row>
    <row r="8" ht="30" customHeight="1">
      <c r="A8" s="4" t="inlineStr">
        <is>
          <t>CNAE</t>
        </is>
      </c>
      <c r="B8" s="5" t="n">
        <v>152</v>
      </c>
      <c r="C8" s="13" t="inlineStr">
        <is>
          <t>Fabricação de artigos para viagem e de artefatos diversos de couro</t>
        </is>
      </c>
      <c r="D8" s="23" t="n">
        <v>21596</v>
      </c>
      <c r="E8" s="23" t="n">
        <v>20358</v>
      </c>
      <c r="F8" s="18" t="n">
        <v>20186</v>
      </c>
      <c r="G8" s="19">
        <f>F8+J8</f>
        <v/>
      </c>
      <c r="H8" s="18" t="n">
        <v>-697</v>
      </c>
      <c r="I8" s="18" t="n">
        <v>16</v>
      </c>
      <c r="J8" s="18" t="n">
        <v>-176</v>
      </c>
      <c r="K8" s="19" t="n"/>
      <c r="L8" s="19" t="n"/>
      <c r="M8" s="19" t="n"/>
      <c r="N8" s="19" t="n"/>
      <c r="O8" s="18" t="n">
        <v>7013</v>
      </c>
      <c r="P8" s="18" t="n">
        <v>251</v>
      </c>
      <c r="Q8" s="18" t="n">
        <v>19</v>
      </c>
      <c r="R8" s="18" t="n">
        <v>3</v>
      </c>
      <c r="S8" s="18" t="n">
        <v>7478</v>
      </c>
      <c r="T8" s="18" t="n">
        <v>250</v>
      </c>
      <c r="U8" s="18" t="n">
        <v>19</v>
      </c>
      <c r="V8" s="18" t="n">
        <v>3</v>
      </c>
    </row>
    <row r="9">
      <c r="A9" s="4" t="inlineStr">
        <is>
          <t>CNAE</t>
        </is>
      </c>
      <c r="B9" s="5" t="n">
        <v>153</v>
      </c>
      <c r="C9" s="13" t="inlineStr">
        <is>
          <t>Fabricação de calçados</t>
        </is>
      </c>
      <c r="D9" s="23" t="n">
        <v>277831</v>
      </c>
      <c r="E9" s="23" t="n">
        <v>255390</v>
      </c>
      <c r="F9" s="18" t="n">
        <v>252134</v>
      </c>
      <c r="G9" s="19">
        <f>F9+J9</f>
        <v/>
      </c>
      <c r="H9" s="18" t="n">
        <v>-19297</v>
      </c>
      <c r="I9" s="18" t="n">
        <v>1534</v>
      </c>
      <c r="J9" s="18" t="n">
        <v>-3361</v>
      </c>
      <c r="K9" s="19" t="n"/>
      <c r="L9" s="19" t="n"/>
      <c r="M9" s="19" t="n"/>
      <c r="N9" s="19" t="n"/>
      <c r="O9" s="18" t="n">
        <v>9251</v>
      </c>
      <c r="P9" s="18" t="n">
        <v>972</v>
      </c>
      <c r="Q9" s="18" t="n">
        <v>256</v>
      </c>
      <c r="R9" s="18" t="n">
        <v>42</v>
      </c>
      <c r="S9" s="18" t="n">
        <v>9543</v>
      </c>
      <c r="T9" s="18" t="n">
        <v>984</v>
      </c>
      <c r="U9" s="18" t="n">
        <v>259</v>
      </c>
      <c r="V9" s="18" t="n">
        <v>36</v>
      </c>
    </row>
    <row r="10" ht="30" customHeight="1">
      <c r="A10" s="4" t="inlineStr">
        <is>
          <t>CNAE</t>
        </is>
      </c>
      <c r="B10" s="5" t="n">
        <v>154</v>
      </c>
      <c r="C10" s="13" t="inlineStr">
        <is>
          <t>Fabricação de partes para calçados, de qualquer material</t>
        </is>
      </c>
      <c r="D10" s="23" t="n">
        <v>23505</v>
      </c>
      <c r="E10" s="23" t="n">
        <v>21752</v>
      </c>
      <c r="F10" s="18" t="n">
        <v>22246</v>
      </c>
      <c r="G10" s="19">
        <f>F10+J10</f>
        <v/>
      </c>
      <c r="H10" s="18" t="n">
        <v>-1492</v>
      </c>
      <c r="I10" s="18" t="n">
        <v>190</v>
      </c>
      <c r="J10" s="18" t="n">
        <v>288</v>
      </c>
      <c r="K10" s="19" t="n"/>
      <c r="L10" s="19" t="n"/>
      <c r="M10" s="19" t="n"/>
      <c r="N10" s="19" t="n"/>
      <c r="O10" s="18" t="n">
        <v>6395</v>
      </c>
      <c r="P10" s="18" t="n">
        <v>630</v>
      </c>
      <c r="Q10" s="18" t="n">
        <v>58</v>
      </c>
      <c r="R10" s="18" t="n">
        <v>1</v>
      </c>
      <c r="S10" s="18" t="n">
        <v>6756</v>
      </c>
      <c r="T10" s="18" t="n">
        <v>630</v>
      </c>
      <c r="U10" s="18" t="n">
        <v>61</v>
      </c>
      <c r="V10" s="18" t="n">
        <v>4</v>
      </c>
    </row>
    <row r="11" ht="30" customHeight="1">
      <c r="A11" s="4" t="inlineStr">
        <is>
          <t>CNAE</t>
        </is>
      </c>
      <c r="B11" s="5" t="n">
        <v>162</v>
      </c>
      <c r="C11" s="13" t="inlineStr">
        <is>
          <t>Fabricação de produtos de madeira, cortiça e material trançado, exceto móveis</t>
        </is>
      </c>
      <c r="D11" s="23" t="n">
        <v>104545</v>
      </c>
      <c r="E11" s="23" t="n">
        <v>102027</v>
      </c>
      <c r="F11" s="18" t="n">
        <v>104380</v>
      </c>
      <c r="G11" s="19">
        <f>F11+J11</f>
        <v/>
      </c>
      <c r="H11" s="18" t="n">
        <v>-1273</v>
      </c>
      <c r="I11" s="18" t="n">
        <v>2647</v>
      </c>
      <c r="J11" s="18" t="n">
        <v>-2819</v>
      </c>
      <c r="K11" s="19" t="n"/>
      <c r="L11" s="19" t="n"/>
      <c r="M11" s="19" t="n"/>
      <c r="N11" s="19" t="n"/>
      <c r="O11" s="18" t="n">
        <v>25948</v>
      </c>
      <c r="P11" s="18" t="n">
        <v>974</v>
      </c>
      <c r="Q11" s="18" t="n">
        <v>153</v>
      </c>
      <c r="R11" s="18" t="n">
        <v>11</v>
      </c>
      <c r="S11" s="18" t="n">
        <v>27445</v>
      </c>
      <c r="T11" s="18" t="n">
        <v>972</v>
      </c>
      <c r="U11" s="18" t="n">
        <v>150</v>
      </c>
      <c r="V11" s="18" t="n">
        <v>14</v>
      </c>
    </row>
    <row r="12">
      <c r="A12" s="4" t="inlineStr">
        <is>
          <t>CNAE</t>
        </is>
      </c>
      <c r="B12" s="5" t="n">
        <v>181</v>
      </c>
      <c r="C12" s="13" t="inlineStr">
        <is>
          <t>Atividade de impressão</t>
        </is>
      </c>
      <c r="D12" s="23" t="n">
        <v>76700</v>
      </c>
      <c r="E12" s="23" t="n">
        <v>78887</v>
      </c>
      <c r="F12" s="18" t="n">
        <v>83051</v>
      </c>
      <c r="G12" s="19">
        <f>F12+J12</f>
        <v/>
      </c>
      <c r="H12" s="18" t="n">
        <v>2402</v>
      </c>
      <c r="I12" s="18" t="n">
        <v>4106</v>
      </c>
      <c r="J12" s="18" t="n">
        <v>1427</v>
      </c>
      <c r="K12" s="19" t="n"/>
      <c r="L12" s="19" t="n"/>
      <c r="M12" s="19" t="n"/>
      <c r="N12" s="19" t="n"/>
      <c r="O12" s="18" t="n">
        <v>19262</v>
      </c>
      <c r="P12" s="18" t="n">
        <v>535</v>
      </c>
      <c r="Q12" s="18" t="n">
        <v>79</v>
      </c>
      <c r="R12" s="18" t="n">
        <v>4</v>
      </c>
      <c r="S12" s="18" t="n">
        <v>20798</v>
      </c>
      <c r="T12" s="18" t="n">
        <v>554</v>
      </c>
      <c r="U12" s="18" t="n">
        <v>82</v>
      </c>
      <c r="V12" s="18" t="n">
        <v>5</v>
      </c>
    </row>
    <row r="13" ht="30" customHeight="1">
      <c r="A13" s="4" t="inlineStr">
        <is>
          <t>CNAE</t>
        </is>
      </c>
      <c r="B13" s="5" t="n">
        <v>183</v>
      </c>
      <c r="C13" s="13" t="inlineStr">
        <is>
          <t>Reprodução de materiais gravados em qualquer suporte</t>
        </is>
      </c>
      <c r="D13" s="23" t="n">
        <v>1488</v>
      </c>
      <c r="E13" s="23" t="n">
        <v>1371</v>
      </c>
      <c r="F13" s="18" t="n">
        <v>1410</v>
      </c>
      <c r="G13" s="19">
        <f>F13+J13</f>
        <v/>
      </c>
      <c r="H13" s="18" t="n">
        <v>64</v>
      </c>
      <c r="I13" s="18" t="n">
        <v>36</v>
      </c>
      <c r="J13" s="18" t="n">
        <v>192</v>
      </c>
      <c r="K13" s="19" t="n"/>
      <c r="L13" s="19" t="n"/>
      <c r="M13" s="19" t="n"/>
      <c r="N13" s="19" t="n"/>
      <c r="O13" s="18" t="n">
        <v>926</v>
      </c>
      <c r="P13" s="18" t="n">
        <v>17</v>
      </c>
      <c r="Q13" s="18" t="n">
        <v>2</v>
      </c>
      <c r="R13" s="18" t="inlineStr">
        <is>
          <t>null</t>
        </is>
      </c>
      <c r="S13" s="18" t="n">
        <v>1060</v>
      </c>
      <c r="T13" s="18" t="n">
        <v>19</v>
      </c>
      <c r="U13" s="18" t="n">
        <v>2</v>
      </c>
      <c r="V13" s="18" t="inlineStr">
        <is>
          <t>null</t>
        </is>
      </c>
    </row>
    <row r="14">
      <c r="A14" s="4" t="inlineStr">
        <is>
          <t>CNAE</t>
        </is>
      </c>
      <c r="B14" s="5" t="n">
        <v>221</v>
      </c>
      <c r="C14" s="13" t="inlineStr">
        <is>
          <t>Fabricação de produtos de borracha</t>
        </is>
      </c>
      <c r="D14" s="23" t="n">
        <v>96646</v>
      </c>
      <c r="E14" s="23" t="n">
        <v>95073</v>
      </c>
      <c r="F14" s="18" t="n">
        <v>98137</v>
      </c>
      <c r="G14" s="19">
        <f>F14+J14</f>
        <v/>
      </c>
      <c r="H14" s="18" t="n">
        <v>-68</v>
      </c>
      <c r="I14" s="18" t="n">
        <v>2585</v>
      </c>
      <c r="J14" s="18" t="n">
        <v>-1230</v>
      </c>
      <c r="K14" s="19" t="n"/>
      <c r="L14" s="19" t="n"/>
      <c r="M14" s="19" t="n"/>
      <c r="N14" s="19" t="n"/>
      <c r="O14" s="18" t="n">
        <v>3194</v>
      </c>
      <c r="P14" s="18" t="n">
        <v>550</v>
      </c>
      <c r="Q14" s="18" t="n">
        <v>97</v>
      </c>
      <c r="R14" s="18" t="n">
        <v>17</v>
      </c>
      <c r="S14" s="18" t="n">
        <v>3334</v>
      </c>
      <c r="T14" s="18" t="n">
        <v>560</v>
      </c>
      <c r="U14" s="18" t="n">
        <v>96</v>
      </c>
      <c r="V14" s="18" t="n">
        <v>15</v>
      </c>
    </row>
    <row r="15">
      <c r="A15" s="4" t="inlineStr">
        <is>
          <t>CNAE</t>
        </is>
      </c>
      <c r="B15" s="5" t="n">
        <v>231</v>
      </c>
      <c r="C15" s="13" t="inlineStr">
        <is>
          <t>Fabricação de vidro e de produtos do vidro</t>
        </is>
      </c>
      <c r="D15" s="23" t="n">
        <v>46115</v>
      </c>
      <c r="E15" s="23" t="n">
        <v>45365</v>
      </c>
      <c r="F15" s="18" t="n">
        <v>46908</v>
      </c>
      <c r="G15" s="19">
        <f>F15+J15</f>
        <v/>
      </c>
      <c r="H15" s="18" t="n">
        <v>61</v>
      </c>
      <c r="I15" s="18" t="n">
        <v>926</v>
      </c>
      <c r="J15" s="18" t="n">
        <v>550</v>
      </c>
      <c r="K15" s="19" t="n"/>
      <c r="L15" s="19" t="n"/>
      <c r="M15" s="19" t="n"/>
      <c r="N15" s="19" t="n"/>
      <c r="O15" s="18" t="n">
        <v>1567</v>
      </c>
      <c r="P15" s="18" t="n">
        <v>326</v>
      </c>
      <c r="Q15" s="18" t="n">
        <v>73</v>
      </c>
      <c r="R15" s="18" t="n">
        <v>8</v>
      </c>
      <c r="S15" s="18" t="n">
        <v>1663</v>
      </c>
      <c r="T15" s="18" t="n">
        <v>320</v>
      </c>
      <c r="U15" s="18" t="n">
        <v>76</v>
      </c>
      <c r="V15" s="18" t="n">
        <v>9</v>
      </c>
    </row>
    <row r="16" ht="30" customHeight="1">
      <c r="A16" s="4" t="inlineStr">
        <is>
          <t>CNAE</t>
        </is>
      </c>
      <c r="B16" s="5" t="n">
        <v>252</v>
      </c>
      <c r="C16" s="13" t="inlineStr">
        <is>
          <t>Fabricação de tanques, reservatórios metálicos e caldeiras</t>
        </is>
      </c>
      <c r="D16" s="23" t="n">
        <v>10789</v>
      </c>
      <c r="E16" s="23" t="n">
        <v>10930</v>
      </c>
      <c r="F16" s="18" t="n">
        <v>10803</v>
      </c>
      <c r="G16" s="19">
        <f>F16+J16</f>
        <v/>
      </c>
      <c r="H16" s="18" t="n">
        <v>535</v>
      </c>
      <c r="I16" s="18" t="n">
        <v>46</v>
      </c>
      <c r="J16" s="18" t="n">
        <v>12</v>
      </c>
      <c r="K16" s="19" t="n"/>
      <c r="L16" s="19" t="n"/>
      <c r="M16" s="19" t="n"/>
      <c r="N16" s="19" t="n"/>
      <c r="O16" s="18" t="n">
        <v>672</v>
      </c>
      <c r="P16" s="18" t="n">
        <v>81</v>
      </c>
      <c r="Q16" s="18" t="n">
        <v>21</v>
      </c>
      <c r="R16" s="18" t="n">
        <v>1</v>
      </c>
      <c r="S16" s="18" t="n">
        <v>683</v>
      </c>
      <c r="T16" s="18" t="n">
        <v>89</v>
      </c>
      <c r="U16" s="18" t="n">
        <v>22</v>
      </c>
      <c r="V16" s="18" t="n">
        <v>1</v>
      </c>
    </row>
    <row r="17" ht="30" customHeight="1">
      <c r="A17" s="4" t="inlineStr">
        <is>
          <t>CNAE</t>
        </is>
      </c>
      <c r="B17" s="5" t="n">
        <v>254</v>
      </c>
      <c r="C17" s="13" t="inlineStr">
        <is>
          <t>Fabricação de artigos de cutelaria, de serralheria e ferramentas</t>
        </is>
      </c>
      <c r="D17" s="23" t="n">
        <v>66589</v>
      </c>
      <c r="E17" s="23" t="n">
        <v>66017</v>
      </c>
      <c r="F17" s="18" t="n">
        <v>68655</v>
      </c>
      <c r="G17" s="19">
        <f>F17+J17</f>
        <v/>
      </c>
      <c r="H17" s="18" t="n">
        <v>1573</v>
      </c>
      <c r="I17" s="18" t="n">
        <v>2772</v>
      </c>
      <c r="J17" s="18" t="n">
        <v>152</v>
      </c>
      <c r="K17" s="19" t="n"/>
      <c r="L17" s="19" t="n"/>
      <c r="M17" s="19" t="n"/>
      <c r="N17" s="19" t="n"/>
      <c r="O17" s="18" t="n">
        <v>15730</v>
      </c>
      <c r="P17" s="18" t="n">
        <v>424</v>
      </c>
      <c r="Q17" s="18" t="n">
        <v>57</v>
      </c>
      <c r="R17" s="18" t="n">
        <v>4</v>
      </c>
      <c r="S17" s="18" t="n">
        <v>17905</v>
      </c>
      <c r="T17" s="18" t="n">
        <v>449</v>
      </c>
      <c r="U17" s="18" t="n">
        <v>57</v>
      </c>
      <c r="V17" s="18" t="n">
        <v>6</v>
      </c>
    </row>
    <row r="18">
      <c r="A18" s="4" t="inlineStr">
        <is>
          <t>CNAE</t>
        </is>
      </c>
      <c r="B18" s="5" t="n">
        <v>261</v>
      </c>
      <c r="C18" s="13" t="inlineStr">
        <is>
          <t>Fabricação de componentes eletrônicos</t>
        </is>
      </c>
      <c r="D18" s="23" t="n">
        <v>31925</v>
      </c>
      <c r="E18" s="23" t="n">
        <v>29713</v>
      </c>
      <c r="F18" s="18" t="n">
        <v>30948</v>
      </c>
      <c r="G18" s="19">
        <f>F18+J18</f>
        <v/>
      </c>
      <c r="H18" s="18" t="n">
        <v>-2404</v>
      </c>
      <c r="I18" s="18" t="n">
        <v>1320</v>
      </c>
      <c r="J18" s="18" t="n">
        <v>-410</v>
      </c>
      <c r="K18" s="19" t="n"/>
      <c r="L18" s="19" t="n"/>
      <c r="M18" s="19" t="n"/>
      <c r="N18" s="19" t="n"/>
      <c r="O18" s="18" t="n">
        <v>1082</v>
      </c>
      <c r="P18" s="18" t="n">
        <v>178</v>
      </c>
      <c r="Q18" s="18" t="n">
        <v>49</v>
      </c>
      <c r="R18" s="18" t="n">
        <v>6</v>
      </c>
      <c r="S18" s="18" t="n">
        <v>1134</v>
      </c>
      <c r="T18" s="18" t="n">
        <v>178</v>
      </c>
      <c r="U18" s="18" t="n">
        <v>49</v>
      </c>
      <c r="V18" s="18" t="n">
        <v>9</v>
      </c>
    </row>
    <row r="19" ht="30" customHeight="1">
      <c r="A19" s="4" t="inlineStr">
        <is>
          <t>CNAE</t>
        </is>
      </c>
      <c r="B19" s="5" t="n">
        <v>262</v>
      </c>
      <c r="C19" s="13" t="inlineStr">
        <is>
          <t>Fabricação de equipamentos de informática e periféricos</t>
        </is>
      </c>
      <c r="D19" s="23" t="n">
        <v>30949</v>
      </c>
      <c r="E19" s="23" t="n">
        <v>27338</v>
      </c>
      <c r="F19" s="18" t="n">
        <v>27381</v>
      </c>
      <c r="G19" s="19">
        <f>F19+J19</f>
        <v/>
      </c>
      <c r="H19" s="18" t="n">
        <v>-2423</v>
      </c>
      <c r="I19" s="18" t="n">
        <v>-244</v>
      </c>
      <c r="J19" s="18" t="n">
        <v>179</v>
      </c>
      <c r="K19" s="19" t="n"/>
      <c r="L19" s="19" t="n"/>
      <c r="M19" s="19" t="n"/>
      <c r="N19" s="19" t="n"/>
      <c r="O19" s="18" t="n">
        <v>605</v>
      </c>
      <c r="P19" s="18" t="n">
        <v>69</v>
      </c>
      <c r="Q19" s="18" t="n">
        <v>26</v>
      </c>
      <c r="R19" s="18" t="n">
        <v>8</v>
      </c>
      <c r="S19" s="18" t="n">
        <v>630</v>
      </c>
      <c r="T19" s="18" t="n">
        <v>71</v>
      </c>
      <c r="U19" s="18" t="n">
        <v>26</v>
      </c>
      <c r="V19" s="18" t="n">
        <v>9</v>
      </c>
    </row>
    <row r="20">
      <c r="A20" s="4" t="inlineStr">
        <is>
          <t>CNAE</t>
        </is>
      </c>
      <c r="B20" s="5" t="n">
        <v>263</v>
      </c>
      <c r="C20" s="13" t="inlineStr">
        <is>
          <t>Fabricação de equipamentos de comunicação</t>
        </is>
      </c>
      <c r="D20" s="23" t="n">
        <v>18792</v>
      </c>
      <c r="E20" s="23" t="n">
        <v>17565</v>
      </c>
      <c r="F20" s="18" t="n">
        <v>19504</v>
      </c>
      <c r="G20" s="19">
        <f>F20+J20</f>
        <v/>
      </c>
      <c r="H20" s="18" t="n">
        <v>-1000</v>
      </c>
      <c r="I20" s="18" t="n">
        <v>1728</v>
      </c>
      <c r="J20" s="18" t="n">
        <v>-1185</v>
      </c>
      <c r="K20" s="19" t="n"/>
      <c r="L20" s="19" t="n"/>
      <c r="M20" s="19" t="n"/>
      <c r="N20" s="19" t="n"/>
      <c r="O20" s="18" t="n">
        <v>304</v>
      </c>
      <c r="P20" s="18" t="n">
        <v>41</v>
      </c>
      <c r="Q20" s="18" t="n">
        <v>24</v>
      </c>
      <c r="R20" s="18" t="n">
        <v>3</v>
      </c>
      <c r="S20" s="18" t="n">
        <v>313</v>
      </c>
      <c r="T20" s="18" t="n">
        <v>40</v>
      </c>
      <c r="U20" s="18" t="n">
        <v>26</v>
      </c>
      <c r="V20" s="18" t="n">
        <v>2</v>
      </c>
    </row>
    <row r="21" ht="30" customHeight="1">
      <c r="A21" s="4" t="inlineStr">
        <is>
          <t>CNAE</t>
        </is>
      </c>
      <c r="B21" s="5" t="n">
        <v>264</v>
      </c>
      <c r="C21" s="13" t="inlineStr">
        <is>
          <t>Fabricação de aparelhos de recepção, reprodução, gravação e amplificação de áudio e vídeo</t>
        </is>
      </c>
      <c r="D21" s="23" t="n">
        <v>15386</v>
      </c>
      <c r="E21" s="23" t="n">
        <v>15490</v>
      </c>
      <c r="F21" s="18" t="n">
        <v>16408</v>
      </c>
      <c r="G21" s="19">
        <f>F21+J21</f>
        <v/>
      </c>
      <c r="H21" s="18" t="n">
        <v>-512</v>
      </c>
      <c r="I21" s="18" t="n">
        <v>155</v>
      </c>
      <c r="J21" s="18" t="n">
        <v>-725</v>
      </c>
      <c r="K21" s="19" t="n"/>
      <c r="L21" s="19" t="n"/>
      <c r="M21" s="19" t="n"/>
      <c r="N21" s="19" t="n"/>
      <c r="O21" s="18" t="n">
        <v>412</v>
      </c>
      <c r="P21" s="18" t="n">
        <v>42</v>
      </c>
      <c r="Q21" s="18" t="n">
        <v>20</v>
      </c>
      <c r="R21" s="18" t="n">
        <v>2</v>
      </c>
      <c r="S21" s="18" t="n">
        <v>431</v>
      </c>
      <c r="T21" s="18" t="n">
        <v>48</v>
      </c>
      <c r="U21" s="18" t="n">
        <v>18</v>
      </c>
      <c r="V21" s="18" t="n">
        <v>1</v>
      </c>
    </row>
    <row r="22" ht="30" customHeight="1">
      <c r="A22" s="4" t="inlineStr">
        <is>
          <t>CNAE</t>
        </is>
      </c>
      <c r="B22" s="5" t="n">
        <v>265</v>
      </c>
      <c r="C22" s="13" t="inlineStr">
        <is>
          <t>Fabricação de aparelhos e instrumentos de medida, teste e controle</t>
        </is>
      </c>
      <c r="D22" s="23" t="n">
        <v>22564</v>
      </c>
      <c r="E22" s="23" t="n">
        <v>23186</v>
      </c>
      <c r="F22" s="18" t="n">
        <v>24541</v>
      </c>
      <c r="G22" s="19">
        <f>F22+J22</f>
        <v/>
      </c>
      <c r="H22" s="18" t="n">
        <v>536</v>
      </c>
      <c r="I22" s="18" t="n">
        <v>1626</v>
      </c>
      <c r="J22" s="18" t="n">
        <v>926</v>
      </c>
      <c r="K22" s="19" t="n"/>
      <c r="L22" s="19" t="n"/>
      <c r="M22" s="19" t="n"/>
      <c r="N22" s="19" t="n"/>
      <c r="O22" s="18" t="n">
        <v>1370</v>
      </c>
      <c r="P22" s="18" t="n">
        <v>181</v>
      </c>
      <c r="Q22" s="18" t="n">
        <v>42</v>
      </c>
      <c r="R22" s="18" t="n">
        <v>2</v>
      </c>
      <c r="S22" s="18" t="n">
        <v>1421</v>
      </c>
      <c r="T22" s="18" t="n">
        <v>182</v>
      </c>
      <c r="U22" s="18" t="n">
        <v>44</v>
      </c>
      <c r="V22" s="18" t="n">
        <v>1</v>
      </c>
    </row>
    <row r="23" ht="30" customHeight="1">
      <c r="A23" s="4" t="inlineStr">
        <is>
          <t>CNAE</t>
        </is>
      </c>
      <c r="B23" s="5" t="n">
        <v>266</v>
      </c>
      <c r="C23" s="13" t="inlineStr">
        <is>
          <t>Fabricação de aparelhos eletromédicos e eletroterapêuticos e equipamentos de irradiação</t>
        </is>
      </c>
      <c r="D23" s="23" t="n">
        <v>6434</v>
      </c>
      <c r="E23" s="23" t="n">
        <v>5978</v>
      </c>
      <c r="F23" s="18" t="n">
        <v>5858</v>
      </c>
      <c r="G23" s="19">
        <f>F23+J23</f>
        <v/>
      </c>
      <c r="H23" s="18" t="n">
        <v>-289</v>
      </c>
      <c r="I23" s="18" t="n">
        <v>-115</v>
      </c>
      <c r="J23" s="18" t="n">
        <v>-294</v>
      </c>
      <c r="K23" s="19" t="n"/>
      <c r="L23" s="19" t="n"/>
      <c r="M23" s="19" t="n"/>
      <c r="N23" s="19" t="n"/>
      <c r="O23" s="18" t="n">
        <v>304</v>
      </c>
      <c r="P23" s="18" t="n">
        <v>55</v>
      </c>
      <c r="Q23" s="18" t="n">
        <v>10</v>
      </c>
      <c r="R23" s="18" t="n">
        <v>1</v>
      </c>
      <c r="S23" s="18" t="n">
        <v>312</v>
      </c>
      <c r="T23" s="18" t="n">
        <v>51</v>
      </c>
      <c r="U23" s="18" t="n">
        <v>11</v>
      </c>
      <c r="V23" s="18" t="inlineStr">
        <is>
          <t>null</t>
        </is>
      </c>
    </row>
    <row r="24" ht="30" customHeight="1">
      <c r="A24" s="4" t="inlineStr">
        <is>
          <t>CNAE</t>
        </is>
      </c>
      <c r="B24" s="5" t="n">
        <v>267</v>
      </c>
      <c r="C24" s="13" t="inlineStr">
        <is>
          <t>Fabricação de equipamentos e instrumentos ópticos, fotográficos e cinematográficos</t>
        </is>
      </c>
      <c r="D24" s="23" t="n">
        <v>754</v>
      </c>
      <c r="E24" s="23" t="n">
        <v>795</v>
      </c>
      <c r="F24" s="18" t="n">
        <v>784</v>
      </c>
      <c r="G24" s="19">
        <f>F24+J24</f>
        <v/>
      </c>
      <c r="H24" s="18" t="n">
        <v>4</v>
      </c>
      <c r="I24" s="18" t="n">
        <v>16</v>
      </c>
      <c r="J24" s="18" t="n">
        <v>-15</v>
      </c>
      <c r="K24" s="19" t="n"/>
      <c r="L24" s="19" t="n"/>
      <c r="M24" s="19" t="n"/>
      <c r="N24" s="19" t="n"/>
      <c r="O24" s="18" t="n">
        <v>93</v>
      </c>
      <c r="P24" s="18" t="n">
        <v>12</v>
      </c>
      <c r="Q24" s="18" t="inlineStr">
        <is>
          <t>null</t>
        </is>
      </c>
      <c r="R24" s="18" t="inlineStr">
        <is>
          <t>null</t>
        </is>
      </c>
      <c r="S24" s="18" t="n">
        <v>95</v>
      </c>
      <c r="T24" s="18" t="n">
        <v>13</v>
      </c>
      <c r="U24" s="18" t="inlineStr">
        <is>
          <t>null</t>
        </is>
      </c>
      <c r="V24" s="18" t="inlineStr">
        <is>
          <t>null</t>
        </is>
      </c>
    </row>
    <row r="25">
      <c r="A25" s="4" t="inlineStr">
        <is>
          <t>CNAE</t>
        </is>
      </c>
      <c r="B25" s="5" t="n">
        <v>268</v>
      </c>
      <c r="C25" s="13" t="inlineStr">
        <is>
          <t>Fabricação de mídias virgens, magnéticas e ópticas</t>
        </is>
      </c>
      <c r="D25" s="23" t="n">
        <v>9</v>
      </c>
      <c r="E25" s="23" t="n">
        <v>12</v>
      </c>
      <c r="F25" s="18" t="n">
        <v>11</v>
      </c>
      <c r="G25" s="19">
        <f>F25+J25</f>
        <v/>
      </c>
      <c r="H25" s="18" t="n">
        <v>2</v>
      </c>
      <c r="I25" s="18" t="n">
        <v>-2</v>
      </c>
      <c r="J25" s="18" t="n">
        <v>-1</v>
      </c>
      <c r="K25" s="19" t="n"/>
      <c r="L25" s="19" t="n"/>
      <c r="M25" s="19" t="n"/>
      <c r="N25" s="19" t="n"/>
      <c r="O25" s="18" t="n">
        <v>8</v>
      </c>
      <c r="P25" s="18" t="inlineStr">
        <is>
          <t>null</t>
        </is>
      </c>
      <c r="Q25" s="18" t="inlineStr">
        <is>
          <t>null</t>
        </is>
      </c>
      <c r="R25" s="18" t="inlineStr">
        <is>
          <t>null</t>
        </is>
      </c>
      <c r="S25" s="18" t="n">
        <v>8</v>
      </c>
      <c r="T25" s="18" t="inlineStr">
        <is>
          <t>null</t>
        </is>
      </c>
      <c r="U25" s="18" t="inlineStr">
        <is>
          <t>null</t>
        </is>
      </c>
      <c r="V25" s="18" t="inlineStr">
        <is>
          <t>null</t>
        </is>
      </c>
    </row>
    <row r="26" ht="30" customHeight="1">
      <c r="A26" s="4" t="inlineStr">
        <is>
          <t>CNAE</t>
        </is>
      </c>
      <c r="B26" s="5" t="n">
        <v>271</v>
      </c>
      <c r="C26" s="13" t="inlineStr">
        <is>
          <t>Fabricação de geradores, transformadores e motores elétricos</t>
        </is>
      </c>
      <c r="D26" s="23" t="n">
        <v>48971</v>
      </c>
      <c r="E26" s="23" t="n">
        <v>50012</v>
      </c>
      <c r="F26" s="18" t="n">
        <v>51940</v>
      </c>
      <c r="G26" s="19">
        <f>F26+J26</f>
        <v/>
      </c>
      <c r="H26" s="18" t="n">
        <v>1329</v>
      </c>
      <c r="I26" s="18" t="n">
        <v>1310</v>
      </c>
      <c r="J26" s="18" t="n">
        <v>-406</v>
      </c>
      <c r="K26" s="19" t="n"/>
      <c r="L26" s="19" t="n"/>
      <c r="M26" s="19" t="n"/>
      <c r="N26" s="19" t="n"/>
      <c r="O26" s="18" t="n">
        <v>1010</v>
      </c>
      <c r="P26" s="18" t="n">
        <v>136</v>
      </c>
      <c r="Q26" s="18" t="n">
        <v>49</v>
      </c>
      <c r="R26" s="18" t="n">
        <v>9</v>
      </c>
      <c r="S26" s="18" t="n">
        <v>1045</v>
      </c>
      <c r="T26" s="18" t="n">
        <v>146</v>
      </c>
      <c r="U26" s="18" t="n">
        <v>52</v>
      </c>
      <c r="V26" s="18" t="n">
        <v>9</v>
      </c>
    </row>
    <row r="27" ht="30" customHeight="1">
      <c r="A27" s="4" t="inlineStr">
        <is>
          <t>CNAE</t>
        </is>
      </c>
      <c r="B27" s="5" t="n">
        <v>272</v>
      </c>
      <c r="C27" s="13" t="inlineStr">
        <is>
          <t>Fabricação de pilhas, baterias e acumuladores elétricos</t>
        </is>
      </c>
      <c r="D27" s="23" t="n">
        <v>10648</v>
      </c>
      <c r="E27" s="23" t="n">
        <v>10686</v>
      </c>
      <c r="F27" s="18" t="n">
        <v>11766</v>
      </c>
      <c r="G27" s="19">
        <f>F27+J27</f>
        <v/>
      </c>
      <c r="H27" s="18" t="n">
        <v>150</v>
      </c>
      <c r="I27" s="18" t="n">
        <v>1023</v>
      </c>
      <c r="J27" s="18" t="n">
        <v>30</v>
      </c>
      <c r="K27" s="19" t="n"/>
      <c r="L27" s="19" t="n"/>
      <c r="M27" s="19" t="n"/>
      <c r="N27" s="19" t="n"/>
      <c r="O27" s="18" t="n">
        <v>145</v>
      </c>
      <c r="P27" s="18" t="n">
        <v>32</v>
      </c>
      <c r="Q27" s="18" t="n">
        <v>20</v>
      </c>
      <c r="R27" s="18" t="n">
        <v>1</v>
      </c>
      <c r="S27" s="18" t="n">
        <v>145</v>
      </c>
      <c r="T27" s="18" t="n">
        <v>30</v>
      </c>
      <c r="U27" s="18" t="n">
        <v>22</v>
      </c>
      <c r="V27" s="18" t="n">
        <v>3</v>
      </c>
    </row>
    <row r="28" ht="30" customHeight="1">
      <c r="A28" s="4" t="inlineStr">
        <is>
          <t>CNAE</t>
        </is>
      </c>
      <c r="B28" s="5" t="n">
        <v>273</v>
      </c>
      <c r="C28" s="13" t="inlineStr">
        <is>
          <t>Fabricação de equipamentos para distribuição e controle de energia elétrica</t>
        </is>
      </c>
      <c r="D28" s="23" t="n">
        <v>56364</v>
      </c>
      <c r="E28" s="23" t="n">
        <v>57487</v>
      </c>
      <c r="F28" s="18" t="n">
        <v>61880</v>
      </c>
      <c r="G28" s="19">
        <f>F28+J28</f>
        <v/>
      </c>
      <c r="H28" s="18" t="n">
        <v>1809</v>
      </c>
      <c r="I28" s="18" t="n">
        <v>3501</v>
      </c>
      <c r="J28" s="18" t="n">
        <v>692</v>
      </c>
      <c r="K28" s="19" t="n"/>
      <c r="L28" s="19" t="n"/>
      <c r="M28" s="19" t="n"/>
      <c r="N28" s="19" t="n"/>
      <c r="O28" s="18" t="n">
        <v>2176</v>
      </c>
      <c r="P28" s="18" t="n">
        <v>313</v>
      </c>
      <c r="Q28" s="18" t="n">
        <v>110</v>
      </c>
      <c r="R28" s="18" t="n">
        <v>12</v>
      </c>
      <c r="S28" s="18" t="n">
        <v>2241</v>
      </c>
      <c r="T28" s="18" t="n">
        <v>333</v>
      </c>
      <c r="U28" s="18" t="n">
        <v>118</v>
      </c>
      <c r="V28" s="18" t="n">
        <v>13</v>
      </c>
    </row>
    <row r="29" ht="30" customHeight="1">
      <c r="A29" s="4" t="inlineStr">
        <is>
          <t>CNAE</t>
        </is>
      </c>
      <c r="B29" s="5" t="n">
        <v>274</v>
      </c>
      <c r="C29" s="13" t="inlineStr">
        <is>
          <t>Fabricação de lâmpadas e outros equipamentos de iluminação</t>
        </is>
      </c>
      <c r="D29" s="23" t="n">
        <v>10893</v>
      </c>
      <c r="E29" s="23" t="n">
        <v>10483</v>
      </c>
      <c r="F29" s="18" t="n">
        <v>10312</v>
      </c>
      <c r="G29" s="19">
        <f>F29+J29</f>
        <v/>
      </c>
      <c r="H29" s="18" t="n">
        <v>67</v>
      </c>
      <c r="I29" s="18" t="n">
        <v>-236</v>
      </c>
      <c r="J29" s="18" t="n">
        <v>-492</v>
      </c>
      <c r="K29" s="19" t="n"/>
      <c r="L29" s="19" t="n"/>
      <c r="M29" s="19" t="n"/>
      <c r="N29" s="19" t="n"/>
      <c r="O29" s="18" t="n">
        <v>894</v>
      </c>
      <c r="P29" s="18" t="n">
        <v>112</v>
      </c>
      <c r="Q29" s="18" t="n">
        <v>16</v>
      </c>
      <c r="R29" s="18" t="inlineStr">
        <is>
          <t>null</t>
        </is>
      </c>
      <c r="S29" s="18" t="n">
        <v>919</v>
      </c>
      <c r="T29" s="18" t="n">
        <v>114</v>
      </c>
      <c r="U29" s="18" t="n">
        <v>15</v>
      </c>
      <c r="V29" s="18" t="inlineStr">
        <is>
          <t>null</t>
        </is>
      </c>
    </row>
    <row r="30">
      <c r="A30" s="4" t="inlineStr">
        <is>
          <t>CNAE</t>
        </is>
      </c>
      <c r="B30" s="5" t="n">
        <v>275</v>
      </c>
      <c r="C30" s="13" t="inlineStr">
        <is>
          <t>Fabricação de eletrodomésticos</t>
        </is>
      </c>
      <c r="D30" s="23" t="n">
        <v>49521</v>
      </c>
      <c r="E30" s="23" t="n">
        <v>48718</v>
      </c>
      <c r="F30" s="18" t="n">
        <v>55696</v>
      </c>
      <c r="G30" s="19">
        <f>F30+J30</f>
        <v/>
      </c>
      <c r="H30" s="18" t="n">
        <v>525</v>
      </c>
      <c r="I30" s="18" t="n">
        <v>7193</v>
      </c>
      <c r="J30" s="18" t="n">
        <v>1044</v>
      </c>
      <c r="K30" s="19" t="n"/>
      <c r="L30" s="19" t="n"/>
      <c r="M30" s="19" t="n"/>
      <c r="N30" s="19" t="n"/>
      <c r="O30" s="18" t="n">
        <v>499</v>
      </c>
      <c r="P30" s="18" t="n">
        <v>102</v>
      </c>
      <c r="Q30" s="18" t="n">
        <v>42</v>
      </c>
      <c r="R30" s="18" t="n">
        <v>9</v>
      </c>
      <c r="S30" s="18" t="n">
        <v>522</v>
      </c>
      <c r="T30" s="18" t="n">
        <v>92</v>
      </c>
      <c r="U30" s="18" t="n">
        <v>49</v>
      </c>
      <c r="V30" s="18" t="n">
        <v>14</v>
      </c>
    </row>
    <row r="31" ht="30" customHeight="1">
      <c r="A31" s="4" t="inlineStr">
        <is>
          <t>CNAE</t>
        </is>
      </c>
      <c r="B31" s="5" t="n">
        <v>279</v>
      </c>
      <c r="C31" s="13" t="inlineStr">
        <is>
          <t>Fabricação de equipamentos e aparelhos elétricos não especificados anteriormente</t>
        </is>
      </c>
      <c r="D31" s="23" t="n">
        <v>29552</v>
      </c>
      <c r="E31" s="23" t="n">
        <v>30611</v>
      </c>
      <c r="F31" s="18" t="n">
        <v>32324</v>
      </c>
      <c r="G31" s="19">
        <f>F31+J31</f>
        <v/>
      </c>
      <c r="H31" s="18" t="n">
        <v>472</v>
      </c>
      <c r="I31" s="18" t="n">
        <v>1723</v>
      </c>
      <c r="J31" s="18" t="n">
        <v>206</v>
      </c>
      <c r="K31" s="19" t="n"/>
      <c r="L31" s="19" t="n"/>
      <c r="M31" s="19" t="n"/>
      <c r="N31" s="19" t="n"/>
      <c r="O31" s="18" t="n">
        <v>1477</v>
      </c>
      <c r="P31" s="18" t="n">
        <v>196</v>
      </c>
      <c r="Q31" s="18" t="n">
        <v>52</v>
      </c>
      <c r="R31" s="18" t="n">
        <v>7</v>
      </c>
      <c r="S31" s="18" t="n">
        <v>1498</v>
      </c>
      <c r="T31" s="18" t="n">
        <v>205</v>
      </c>
      <c r="U31" s="18" t="n">
        <v>54</v>
      </c>
      <c r="V31" s="18" t="n">
        <v>6</v>
      </c>
    </row>
    <row r="32" ht="30" customHeight="1">
      <c r="A32" s="4" t="inlineStr">
        <is>
          <t>CNAE</t>
        </is>
      </c>
      <c r="B32" s="5" t="n">
        <v>281</v>
      </c>
      <c r="C32" s="13" t="inlineStr">
        <is>
          <t>Fabricação de motores, bombas, compressores e equipamentos de transmissão</t>
        </is>
      </c>
      <c r="D32" s="23" t="n">
        <v>58417</v>
      </c>
      <c r="E32" s="23" t="n">
        <v>56777</v>
      </c>
      <c r="F32" s="18" t="n">
        <v>59713</v>
      </c>
      <c r="G32" s="19">
        <f>F32+J32</f>
        <v/>
      </c>
      <c r="H32" s="18" t="n">
        <v>-383</v>
      </c>
      <c r="I32" s="18" t="n">
        <v>2875</v>
      </c>
      <c r="J32" s="18" t="n">
        <v>212</v>
      </c>
      <c r="K32" s="19" t="n"/>
      <c r="L32" s="19" t="n"/>
      <c r="M32" s="19" t="n"/>
      <c r="N32" s="19" t="n"/>
      <c r="O32" s="18" t="n">
        <v>1506</v>
      </c>
      <c r="P32" s="18" t="n">
        <v>273</v>
      </c>
      <c r="Q32" s="18" t="n">
        <v>101</v>
      </c>
      <c r="R32" s="18" t="n">
        <v>11</v>
      </c>
      <c r="S32" s="18" t="n">
        <v>1553</v>
      </c>
      <c r="T32" s="18" t="n">
        <v>266</v>
      </c>
      <c r="U32" s="18" t="n">
        <v>108</v>
      </c>
      <c r="V32" s="18" t="n">
        <v>13</v>
      </c>
    </row>
    <row r="33">
      <c r="A33" s="4" t="inlineStr">
        <is>
          <t>CNAE</t>
        </is>
      </c>
      <c r="B33" s="5" t="n">
        <v>282</v>
      </c>
      <c r="C33" s="13" t="inlineStr">
        <is>
          <t>Fabricação de máquinas e equipamentos de uso geral</t>
        </is>
      </c>
      <c r="D33" s="23" t="n">
        <v>111695</v>
      </c>
      <c r="E33" s="23" t="n">
        <v>115233</v>
      </c>
      <c r="F33" s="18" t="n">
        <v>121025</v>
      </c>
      <c r="G33" s="19">
        <f>F33+J33</f>
        <v/>
      </c>
      <c r="H33" s="18" t="n">
        <v>2797</v>
      </c>
      <c r="I33" s="18" t="n">
        <v>5802</v>
      </c>
      <c r="J33" s="18" t="n">
        <v>2235</v>
      </c>
      <c r="K33" s="19" t="n"/>
      <c r="L33" s="19" t="n"/>
      <c r="M33" s="19" t="n"/>
      <c r="N33" s="19" t="n"/>
      <c r="O33" s="18" t="n">
        <v>6352</v>
      </c>
      <c r="P33" s="18" t="n">
        <v>949</v>
      </c>
      <c r="Q33" s="18" t="n">
        <v>185</v>
      </c>
      <c r="R33" s="18" t="n">
        <v>21</v>
      </c>
      <c r="S33" s="18" t="n">
        <v>6527</v>
      </c>
      <c r="T33" s="18" t="n">
        <v>959</v>
      </c>
      <c r="U33" s="18" t="n">
        <v>204</v>
      </c>
      <c r="V33" s="18" t="n">
        <v>20</v>
      </c>
    </row>
    <row r="34" ht="30" customHeight="1">
      <c r="A34" s="4" t="inlineStr">
        <is>
          <t>CNAE</t>
        </is>
      </c>
      <c r="B34" s="5" t="n">
        <v>283</v>
      </c>
      <c r="C34" s="13" t="inlineStr">
        <is>
          <t>Fabricação de tratores e de máquinas e equipamentos para a agricultura e pecuária</t>
        </is>
      </c>
      <c r="D34" s="23" t="n">
        <v>100639</v>
      </c>
      <c r="E34" s="23" t="n">
        <v>95462</v>
      </c>
      <c r="F34" s="18" t="n">
        <v>92554</v>
      </c>
      <c r="G34" s="19">
        <f>F34+J34</f>
        <v/>
      </c>
      <c r="H34" s="18" t="n">
        <v>-3354</v>
      </c>
      <c r="I34" s="18" t="n">
        <v>-1250</v>
      </c>
      <c r="J34" s="18" t="n">
        <v>3966</v>
      </c>
      <c r="K34" s="19" t="n"/>
      <c r="L34" s="19" t="n"/>
      <c r="M34" s="19" t="n"/>
      <c r="N34" s="19" t="n"/>
      <c r="O34" s="18" t="n">
        <v>2760</v>
      </c>
      <c r="P34" s="18" t="n">
        <v>414</v>
      </c>
      <c r="Q34" s="18" t="n">
        <v>119</v>
      </c>
      <c r="R34" s="18" t="n">
        <v>21</v>
      </c>
      <c r="S34" s="18" t="n">
        <v>2926</v>
      </c>
      <c r="T34" s="18" t="n">
        <v>402</v>
      </c>
      <c r="U34" s="18" t="n">
        <v>121</v>
      </c>
      <c r="V34" s="18" t="n">
        <v>18</v>
      </c>
    </row>
    <row r="35">
      <c r="A35" s="4" t="inlineStr">
        <is>
          <t>CNAE</t>
        </is>
      </c>
      <c r="B35" s="5" t="n">
        <v>284</v>
      </c>
      <c r="C35" s="13" t="inlineStr">
        <is>
          <t>Fabricação de máquinas-ferramenta</t>
        </is>
      </c>
      <c r="D35" s="23" t="n">
        <v>19350</v>
      </c>
      <c r="E35" s="23" t="n">
        <v>18097</v>
      </c>
      <c r="F35" s="18" t="n">
        <v>18073</v>
      </c>
      <c r="G35" s="19">
        <f>F35+J35</f>
        <v/>
      </c>
      <c r="H35" s="18" t="n">
        <v>-801</v>
      </c>
      <c r="I35" s="18" t="n">
        <v>110</v>
      </c>
      <c r="J35" s="18" t="n">
        <v>596</v>
      </c>
      <c r="K35" s="19" t="n"/>
      <c r="L35" s="19" t="n"/>
      <c r="M35" s="19" t="n"/>
      <c r="N35" s="19" t="n"/>
      <c r="O35" s="18" t="n">
        <v>1422</v>
      </c>
      <c r="P35" s="18" t="n">
        <v>140</v>
      </c>
      <c r="Q35" s="18" t="n">
        <v>17</v>
      </c>
      <c r="R35" s="18" t="n">
        <v>2</v>
      </c>
      <c r="S35" s="18" t="n">
        <v>1460</v>
      </c>
      <c r="T35" s="18" t="n">
        <v>137</v>
      </c>
      <c r="U35" s="18" t="n">
        <v>14</v>
      </c>
      <c r="V35" s="18" t="n">
        <v>3</v>
      </c>
    </row>
    <row r="36" ht="30" customHeight="1">
      <c r="A36" s="4" t="inlineStr">
        <is>
          <t>CNAE</t>
        </is>
      </c>
      <c r="B36" s="5" t="n">
        <v>285</v>
      </c>
      <c r="C36" s="13" t="inlineStr">
        <is>
          <t>Fabricação de máquinas e equipamentos de uso na extração mineral e na construção</t>
        </is>
      </c>
      <c r="D36" s="23" t="n">
        <v>29895</v>
      </c>
      <c r="E36" s="23" t="n">
        <v>29073</v>
      </c>
      <c r="F36" s="18" t="n">
        <v>29652</v>
      </c>
      <c r="G36" s="19">
        <f>F36+J36</f>
        <v/>
      </c>
      <c r="H36" s="18" t="n">
        <v>570</v>
      </c>
      <c r="I36" s="18" t="n">
        <v>906</v>
      </c>
      <c r="J36" s="18" t="n">
        <v>598</v>
      </c>
      <c r="K36" s="19" t="n"/>
      <c r="L36" s="19" t="n"/>
      <c r="M36" s="19" t="n"/>
      <c r="N36" s="19" t="n"/>
      <c r="O36" s="18" t="n">
        <v>404</v>
      </c>
      <c r="P36" s="18" t="n">
        <v>66</v>
      </c>
      <c r="Q36" s="18" t="n">
        <v>34</v>
      </c>
      <c r="R36" s="18" t="n">
        <v>12</v>
      </c>
      <c r="S36" s="18" t="n">
        <v>412</v>
      </c>
      <c r="T36" s="18" t="n">
        <v>72</v>
      </c>
      <c r="U36" s="18" t="n">
        <v>32</v>
      </c>
      <c r="V36" s="18" t="n">
        <v>10</v>
      </c>
    </row>
    <row r="37" ht="30" customHeight="1">
      <c r="A37" s="4" t="inlineStr">
        <is>
          <t>CNAE</t>
        </is>
      </c>
      <c r="B37" s="5" t="n">
        <v>286</v>
      </c>
      <c r="C37" s="13" t="inlineStr">
        <is>
          <t>Fabricação de máquinas e equipamentos de uso industrial específico</t>
        </is>
      </c>
      <c r="D37" s="23" t="n">
        <v>82164</v>
      </c>
      <c r="E37" s="23" t="n">
        <v>81955</v>
      </c>
      <c r="F37" s="18" t="n">
        <v>84203</v>
      </c>
      <c r="G37" s="19">
        <f>F37+J37</f>
        <v/>
      </c>
      <c r="H37" s="18" t="n">
        <v>56</v>
      </c>
      <c r="I37" s="18" t="n">
        <v>2253</v>
      </c>
      <c r="J37" s="18" t="n">
        <v>1592</v>
      </c>
      <c r="K37" s="19" t="n"/>
      <c r="L37" s="19" t="n"/>
      <c r="M37" s="19" t="n"/>
      <c r="N37" s="19" t="n"/>
      <c r="O37" s="18" t="n">
        <v>5619</v>
      </c>
      <c r="P37" s="18" t="n">
        <v>711</v>
      </c>
      <c r="Q37" s="18" t="n">
        <v>145</v>
      </c>
      <c r="R37" s="18" t="n">
        <v>7</v>
      </c>
      <c r="S37" s="18" t="n">
        <v>5809</v>
      </c>
      <c r="T37" s="18" t="n">
        <v>709</v>
      </c>
      <c r="U37" s="18" t="n">
        <v>156</v>
      </c>
      <c r="V37" s="18" t="n">
        <v>7</v>
      </c>
    </row>
    <row r="38">
      <c r="A38" s="4" t="inlineStr">
        <is>
          <t>CNAE</t>
        </is>
      </c>
      <c r="B38" s="5" t="n">
        <v>292</v>
      </c>
      <c r="C38" s="13" t="inlineStr">
        <is>
          <t>Fabricação de caminhões e ônibus</t>
        </is>
      </c>
      <c r="D38" s="23" t="n">
        <v>38697</v>
      </c>
      <c r="E38" s="23" t="n">
        <v>37358</v>
      </c>
      <c r="F38" s="18" t="n">
        <v>40312</v>
      </c>
      <c r="G38" s="19">
        <f>F38+J38</f>
        <v/>
      </c>
      <c r="H38" s="18" t="n">
        <v>-1487</v>
      </c>
      <c r="I38" s="18" t="n">
        <v>2894</v>
      </c>
      <c r="J38" s="18" t="n">
        <v>-2139</v>
      </c>
      <c r="K38" s="19" t="n"/>
      <c r="L38" s="19" t="n"/>
      <c r="M38" s="19" t="n"/>
      <c r="N38" s="19" t="n"/>
      <c r="O38" s="18" t="n">
        <v>30</v>
      </c>
      <c r="P38" s="18" t="n">
        <v>1</v>
      </c>
      <c r="Q38" s="18" t="n">
        <v>10</v>
      </c>
      <c r="R38" s="18" t="n">
        <v>4</v>
      </c>
      <c r="S38" s="18" t="n">
        <v>27</v>
      </c>
      <c r="T38" s="18" t="n">
        <v>3</v>
      </c>
      <c r="U38" s="18" t="n">
        <v>9</v>
      </c>
      <c r="V38" s="18" t="n">
        <v>5</v>
      </c>
    </row>
    <row r="39" ht="30" customHeight="1">
      <c r="A39" s="4" t="inlineStr">
        <is>
          <t>CNAE</t>
        </is>
      </c>
      <c r="B39" s="5" t="n">
        <v>293</v>
      </c>
      <c r="C39" s="13" t="inlineStr">
        <is>
          <t>Fabricação de cabines, carrocerias e reboques para veículos automotores</t>
        </is>
      </c>
      <c r="D39" s="23" t="n">
        <v>46251</v>
      </c>
      <c r="E39" s="23" t="n">
        <v>53973</v>
      </c>
      <c r="F39" s="18" t="n">
        <v>59945</v>
      </c>
      <c r="G39" s="19">
        <f>F39+J39</f>
        <v/>
      </c>
      <c r="H39" s="18" t="n">
        <v>1808</v>
      </c>
      <c r="I39" s="18" t="n">
        <v>3921</v>
      </c>
      <c r="J39" s="18" t="n">
        <v>-2901</v>
      </c>
      <c r="K39" s="19" t="n"/>
      <c r="L39" s="19" t="n"/>
      <c r="M39" s="19" t="n"/>
      <c r="N39" s="19" t="n"/>
      <c r="O39" s="18" t="n">
        <v>2951</v>
      </c>
      <c r="P39" s="18" t="n">
        <v>278</v>
      </c>
      <c r="Q39" s="18" t="n">
        <v>66</v>
      </c>
      <c r="R39" s="18" t="n">
        <v>10</v>
      </c>
      <c r="S39" s="18" t="n">
        <v>3086</v>
      </c>
      <c r="T39" s="18" t="n">
        <v>284</v>
      </c>
      <c r="U39" s="18" t="n">
        <v>67</v>
      </c>
      <c r="V39" s="18" t="n">
        <v>10</v>
      </c>
    </row>
    <row r="40" ht="30" customHeight="1">
      <c r="A40" s="4" t="inlineStr">
        <is>
          <t>CNAE</t>
        </is>
      </c>
      <c r="B40" s="5" t="n">
        <v>294</v>
      </c>
      <c r="C40" s="13" t="inlineStr">
        <is>
          <t>Fabricação de peças e acessórios para veículos automotores</t>
        </is>
      </c>
      <c r="D40" s="23" t="n">
        <v>275780</v>
      </c>
      <c r="E40" s="23" t="n">
        <v>271248</v>
      </c>
      <c r="F40" s="18" t="n">
        <v>286868</v>
      </c>
      <c r="G40" s="19">
        <f>F40+J40</f>
        <v/>
      </c>
      <c r="H40" s="18" t="n">
        <v>-3769</v>
      </c>
      <c r="I40" s="18" t="n">
        <v>16136</v>
      </c>
      <c r="J40" s="18" t="n">
        <v>3964</v>
      </c>
      <c r="K40" s="19" t="n"/>
      <c r="L40" s="19" t="n"/>
      <c r="M40" s="19" t="n"/>
      <c r="N40" s="19" t="n"/>
      <c r="O40" s="18" t="n">
        <v>2896</v>
      </c>
      <c r="P40" s="18" t="n">
        <v>655</v>
      </c>
      <c r="Q40" s="18" t="n">
        <v>398</v>
      </c>
      <c r="R40" s="18" t="n">
        <v>91</v>
      </c>
      <c r="S40" s="18" t="n">
        <v>2996</v>
      </c>
      <c r="T40" s="18" t="n">
        <v>671</v>
      </c>
      <c r="U40" s="18" t="n">
        <v>389</v>
      </c>
      <c r="V40" s="18" t="n">
        <v>99</v>
      </c>
    </row>
    <row r="41">
      <c r="A41" s="4" t="inlineStr">
        <is>
          <t>CNAE</t>
        </is>
      </c>
      <c r="B41" s="5" t="n">
        <v>301</v>
      </c>
      <c r="C41" s="13" t="inlineStr">
        <is>
          <t>Construção de embarcações</t>
        </is>
      </c>
      <c r="D41" s="23" t="n">
        <v>27906</v>
      </c>
      <c r="E41" s="23" t="n">
        <v>30875</v>
      </c>
      <c r="F41" s="18" t="n">
        <v>31427</v>
      </c>
      <c r="G41" s="19">
        <f>F41+J41</f>
        <v/>
      </c>
      <c r="H41" s="18" t="n">
        <v>2131</v>
      </c>
      <c r="I41" s="18" t="n">
        <v>1184</v>
      </c>
      <c r="J41" s="18" t="n">
        <v>4245</v>
      </c>
      <c r="K41" s="19" t="n"/>
      <c r="L41" s="19" t="n"/>
      <c r="M41" s="19" t="n"/>
      <c r="N41" s="19" t="n"/>
      <c r="O41" s="18" t="n">
        <v>776</v>
      </c>
      <c r="P41" s="18" t="n">
        <v>59</v>
      </c>
      <c r="Q41" s="18" t="n">
        <v>19</v>
      </c>
      <c r="R41" s="18" t="n">
        <v>8</v>
      </c>
      <c r="S41" s="18" t="n">
        <v>831</v>
      </c>
      <c r="T41" s="18" t="n">
        <v>58</v>
      </c>
      <c r="U41" s="18" t="n">
        <v>21</v>
      </c>
      <c r="V41" s="18" t="n">
        <v>10</v>
      </c>
    </row>
    <row r="42">
      <c r="A42" s="4" t="inlineStr">
        <is>
          <t>CNAE</t>
        </is>
      </c>
      <c r="B42" s="5" t="n">
        <v>303</v>
      </c>
      <c r="C42" s="13" t="inlineStr">
        <is>
          <t>Fabricação de veículos ferroviários</t>
        </is>
      </c>
      <c r="D42" s="23" t="n">
        <v>3252</v>
      </c>
      <c r="E42" s="23" t="n">
        <v>3787</v>
      </c>
      <c r="F42" s="18" t="n">
        <v>3884</v>
      </c>
      <c r="G42" s="19">
        <f>F42+J42</f>
        <v/>
      </c>
      <c r="H42" s="18" t="n">
        <v>556</v>
      </c>
      <c r="I42" s="18" t="n">
        <v>214</v>
      </c>
      <c r="J42" s="18" t="n">
        <v>186</v>
      </c>
      <c r="K42" s="19" t="n"/>
      <c r="L42" s="19" t="n"/>
      <c r="M42" s="19" t="n"/>
      <c r="N42" s="19" t="n"/>
      <c r="O42" s="18" t="n">
        <v>57</v>
      </c>
      <c r="P42" s="18" t="n">
        <v>21</v>
      </c>
      <c r="Q42" s="18" t="n">
        <v>3</v>
      </c>
      <c r="R42" s="18" t="n">
        <v>3</v>
      </c>
      <c r="S42" s="18" t="n">
        <v>62</v>
      </c>
      <c r="T42" s="18" t="n">
        <v>15</v>
      </c>
      <c r="U42" s="18" t="n">
        <v>3</v>
      </c>
      <c r="V42" s="18" t="n">
        <v>3</v>
      </c>
    </row>
    <row r="43">
      <c r="A43" s="4" t="inlineStr">
        <is>
          <t>CNAE</t>
        </is>
      </c>
      <c r="B43" s="5" t="n">
        <v>304</v>
      </c>
      <c r="C43" s="13" t="inlineStr">
        <is>
          <t>Fabricação de aeronaves</t>
        </is>
      </c>
      <c r="D43" s="23" t="n">
        <v>17627</v>
      </c>
      <c r="E43" s="23" t="n">
        <v>19324</v>
      </c>
      <c r="F43" s="18" t="n">
        <v>20606</v>
      </c>
      <c r="G43" s="19">
        <f>F43+J43</f>
        <v/>
      </c>
      <c r="H43" s="18" t="n">
        <v>2240</v>
      </c>
      <c r="I43" s="18" t="n">
        <v>2006</v>
      </c>
      <c r="J43" s="18" t="n">
        <v>1232</v>
      </c>
      <c r="K43" s="19" t="n"/>
      <c r="L43" s="19" t="n"/>
      <c r="M43" s="19" t="n"/>
      <c r="N43" s="19" t="n"/>
      <c r="O43" s="18" t="n">
        <v>100</v>
      </c>
      <c r="P43" s="18" t="n">
        <v>13</v>
      </c>
      <c r="Q43" s="18" t="n">
        <v>14</v>
      </c>
      <c r="R43" s="18" t="n">
        <v>1</v>
      </c>
      <c r="S43" s="18" t="n">
        <v>99</v>
      </c>
      <c r="T43" s="18" t="n">
        <v>13</v>
      </c>
      <c r="U43" s="18" t="n">
        <v>13</v>
      </c>
      <c r="V43" s="18" t="n">
        <v>1</v>
      </c>
    </row>
    <row r="44">
      <c r="A44" s="4" t="inlineStr">
        <is>
          <t>CNAE</t>
        </is>
      </c>
      <c r="B44" s="5" t="n">
        <v>305</v>
      </c>
      <c r="C44" s="13" t="inlineStr">
        <is>
          <t>Fabricação de veículos militares de combate</t>
        </is>
      </c>
      <c r="D44" s="23" t="n">
        <v>4</v>
      </c>
      <c r="E44" s="23" t="n">
        <v>1</v>
      </c>
      <c r="F44" s="18" t="n">
        <v>1</v>
      </c>
      <c r="G44" s="19">
        <f>F44+J44</f>
        <v/>
      </c>
      <c r="H44" s="18" t="n">
        <v>-3</v>
      </c>
      <c r="I44" s="18" t="inlineStr">
        <is>
          <t>null</t>
        </is>
      </c>
      <c r="J44" s="18" t="n">
        <v>-2</v>
      </c>
      <c r="K44" s="19" t="n"/>
      <c r="L44" s="19" t="n"/>
      <c r="M44" s="19" t="n"/>
      <c r="N44" s="19" t="n"/>
      <c r="O44" s="18" t="n">
        <v>1</v>
      </c>
      <c r="P44" s="18" t="inlineStr">
        <is>
          <t>null</t>
        </is>
      </c>
      <c r="Q44" s="18" t="inlineStr">
        <is>
          <t>null</t>
        </is>
      </c>
      <c r="R44" s="18" t="inlineStr">
        <is>
          <t>null</t>
        </is>
      </c>
      <c r="S44" s="18" t="n">
        <v>1</v>
      </c>
      <c r="T44" s="18" t="inlineStr">
        <is>
          <t>null</t>
        </is>
      </c>
      <c r="U44" s="18" t="inlineStr">
        <is>
          <t>null</t>
        </is>
      </c>
      <c r="V44" s="18" t="inlineStr">
        <is>
          <t>null</t>
        </is>
      </c>
    </row>
    <row r="45" ht="30" customHeight="1">
      <c r="A45" s="4" t="inlineStr">
        <is>
          <t>CNAE</t>
        </is>
      </c>
      <c r="B45" s="5" t="n">
        <v>309</v>
      </c>
      <c r="C45" s="13" t="inlineStr">
        <is>
          <t>Fabricação de equipamentos de transporte não especificados anteriormente</t>
        </is>
      </c>
      <c r="D45" s="23" t="n">
        <v>29643</v>
      </c>
      <c r="E45" s="23" t="n">
        <v>31884</v>
      </c>
      <c r="F45" s="18" t="n">
        <v>33924</v>
      </c>
      <c r="G45" s="19">
        <f>F45+J45</f>
        <v/>
      </c>
      <c r="H45" s="18" t="n">
        <v>2438</v>
      </c>
      <c r="I45" s="18" t="n">
        <v>2181</v>
      </c>
      <c r="J45" s="18" t="n">
        <v>1578</v>
      </c>
      <c r="K45" s="19" t="n"/>
      <c r="L45" s="19" t="n"/>
      <c r="M45" s="19" t="n"/>
      <c r="N45" s="19" t="n"/>
      <c r="O45" s="18" t="n">
        <v>1068</v>
      </c>
      <c r="P45" s="18" t="n">
        <v>107</v>
      </c>
      <c r="Q45" s="18" t="n">
        <v>40</v>
      </c>
      <c r="R45" s="18" t="n">
        <v>5</v>
      </c>
      <c r="S45" s="18" t="n">
        <v>1098</v>
      </c>
      <c r="T45" s="18" t="n">
        <v>113</v>
      </c>
      <c r="U45" s="18" t="n">
        <v>46</v>
      </c>
      <c r="V45" s="18" t="n">
        <v>5</v>
      </c>
    </row>
    <row r="46">
      <c r="A46" s="4" t="inlineStr">
        <is>
          <t>CNAE</t>
        </is>
      </c>
      <c r="B46" s="5" t="n">
        <v>323</v>
      </c>
      <c r="C46" s="13" t="inlineStr">
        <is>
          <t>Fabricação de artefatos para pesca e esporte</t>
        </is>
      </c>
      <c r="D46" s="23" t="n">
        <v>4950</v>
      </c>
      <c r="E46" s="23" t="n">
        <v>5461</v>
      </c>
      <c r="F46" s="18" t="n">
        <v>5369</v>
      </c>
      <c r="G46" s="19">
        <f>F46+J46</f>
        <v/>
      </c>
      <c r="H46" s="18" t="n">
        <v>420</v>
      </c>
      <c r="I46" s="18" t="n">
        <v>279</v>
      </c>
      <c r="J46" s="18" t="n">
        <v>277</v>
      </c>
      <c r="K46" s="19" t="n"/>
      <c r="L46" s="19" t="n"/>
      <c r="M46" s="19" t="n"/>
      <c r="N46" s="19" t="n"/>
      <c r="O46" s="18" t="n">
        <v>800</v>
      </c>
      <c r="P46" s="18" t="n">
        <v>58</v>
      </c>
      <c r="Q46" s="18" t="n">
        <v>5</v>
      </c>
      <c r="R46" s="18" t="inlineStr">
        <is>
          <t>null</t>
        </is>
      </c>
      <c r="S46" s="18" t="n">
        <v>845</v>
      </c>
      <c r="T46" s="18" t="n">
        <v>70</v>
      </c>
      <c r="U46" s="18" t="n">
        <v>4</v>
      </c>
      <c r="V46" s="18" t="inlineStr">
        <is>
          <t>null</t>
        </is>
      </c>
    </row>
    <row r="47" ht="30" customHeight="1">
      <c r="A47" s="4" t="inlineStr">
        <is>
          <t>CNAE</t>
        </is>
      </c>
      <c r="B47" s="5" t="n">
        <v>325</v>
      </c>
      <c r="C47" s="13" t="inlineStr">
        <is>
          <t>Fabricação de instrumentos e materiais para uso médico e odontológico e de artigos ópticos</t>
        </is>
      </c>
      <c r="D47" s="23" t="n">
        <v>73431</v>
      </c>
      <c r="E47" s="23" t="n">
        <v>76735</v>
      </c>
      <c r="F47" s="18" t="n">
        <v>79445</v>
      </c>
      <c r="G47" s="19">
        <f>F47+J47</f>
        <v/>
      </c>
      <c r="H47" s="18" t="n">
        <v>2418</v>
      </c>
      <c r="I47" s="18" t="n">
        <v>2951</v>
      </c>
      <c r="J47" s="18" t="n">
        <v>-767</v>
      </c>
      <c r="K47" s="19" t="n"/>
      <c r="L47" s="19" t="n"/>
      <c r="M47" s="19" t="n"/>
      <c r="N47" s="19" t="n"/>
      <c r="O47" s="18" t="n">
        <v>8379</v>
      </c>
      <c r="P47" s="18" t="n">
        <v>468</v>
      </c>
      <c r="Q47" s="18" t="n">
        <v>117</v>
      </c>
      <c r="R47" s="18" t="n">
        <v>8</v>
      </c>
      <c r="S47" s="18" t="n">
        <v>9040</v>
      </c>
      <c r="T47" s="18" t="n">
        <v>456</v>
      </c>
      <c r="U47" s="18" t="n">
        <v>116</v>
      </c>
      <c r="V47" s="18" t="n">
        <v>9</v>
      </c>
    </row>
    <row r="48">
      <c r="A48" s="4" t="inlineStr">
        <is>
          <t>CNAE</t>
        </is>
      </c>
      <c r="B48" s="5" t="n">
        <v>329</v>
      </c>
      <c r="C48" s="13" t="inlineStr">
        <is>
          <t>Fabricação de produtos diversos</t>
        </is>
      </c>
      <c r="D48" s="23" t="n">
        <v>63530</v>
      </c>
      <c r="E48" s="23" t="n">
        <v>62422</v>
      </c>
      <c r="F48" s="18" t="n">
        <v>65780</v>
      </c>
      <c r="G48" s="19">
        <f>F48+J48</f>
        <v/>
      </c>
      <c r="H48" s="18" t="n">
        <v>374</v>
      </c>
      <c r="I48" s="18" t="n">
        <v>2990</v>
      </c>
      <c r="J48" s="18" t="n">
        <v>1051</v>
      </c>
      <c r="K48" s="19" t="n"/>
      <c r="L48" s="19" t="n"/>
      <c r="M48" s="19" t="n"/>
      <c r="N48" s="19" t="n"/>
      <c r="O48" s="18" t="n">
        <v>13233</v>
      </c>
      <c r="P48" s="18" t="n">
        <v>498</v>
      </c>
      <c r="Q48" s="18" t="n">
        <v>75</v>
      </c>
      <c r="R48" s="18" t="n">
        <v>4</v>
      </c>
      <c r="S48" s="18" t="n">
        <v>14471</v>
      </c>
      <c r="T48" s="18" t="n">
        <v>501</v>
      </c>
      <c r="U48" s="18" t="n">
        <v>88</v>
      </c>
      <c r="V48" s="18" t="n">
        <v>5</v>
      </c>
    </row>
    <row r="49">
      <c r="A49" s="4" t="inlineStr">
        <is>
          <t>CNAE</t>
        </is>
      </c>
      <c r="B49" s="5" t="n">
        <v>381</v>
      </c>
      <c r="C49" s="13" t="inlineStr">
        <is>
          <t>Coleta de resíduos</t>
        </is>
      </c>
      <c r="D49" s="23" t="n">
        <v>187989</v>
      </c>
      <c r="E49" s="23" t="n">
        <v>192126</v>
      </c>
      <c r="F49" s="18" t="n">
        <v>198344</v>
      </c>
      <c r="G49" s="19">
        <f>F49+J49</f>
        <v/>
      </c>
      <c r="H49" s="18" t="n">
        <v>6064</v>
      </c>
      <c r="I49" s="18" t="n">
        <v>4748</v>
      </c>
      <c r="J49" s="18" t="n">
        <v>6840</v>
      </c>
      <c r="K49" s="19" t="n"/>
      <c r="L49" s="19" t="n"/>
      <c r="M49" s="19" t="n"/>
      <c r="N49" s="19" t="n"/>
      <c r="O49" s="18" t="n">
        <v>8262</v>
      </c>
      <c r="P49" s="18" t="n">
        <v>514</v>
      </c>
      <c r="Q49" s="18" t="n">
        <v>184</v>
      </c>
      <c r="R49" s="18" t="n">
        <v>47</v>
      </c>
      <c r="S49" s="18" t="n">
        <v>8764</v>
      </c>
      <c r="T49" s="18" t="n">
        <v>535</v>
      </c>
      <c r="U49" s="18" t="n">
        <v>190</v>
      </c>
      <c r="V49" s="18" t="n">
        <v>46</v>
      </c>
    </row>
    <row r="50">
      <c r="A50" s="4" t="inlineStr">
        <is>
          <t>CNAE</t>
        </is>
      </c>
      <c r="B50" s="5" t="n">
        <v>383</v>
      </c>
      <c r="C50" s="13" t="inlineStr">
        <is>
          <t>Recuperação de materiais</t>
        </is>
      </c>
      <c r="D50" s="23" t="n">
        <v>42324</v>
      </c>
      <c r="E50" s="23" t="n">
        <v>42283</v>
      </c>
      <c r="F50" s="18" t="n">
        <v>42951</v>
      </c>
      <c r="G50" s="19">
        <f>F50+J50</f>
        <v/>
      </c>
      <c r="H50" s="18" t="n">
        <v>-224</v>
      </c>
      <c r="I50" s="18" t="n">
        <v>1203</v>
      </c>
      <c r="J50" s="18" t="n">
        <v>1353</v>
      </c>
      <c r="K50" s="19" t="n"/>
      <c r="L50" s="19" t="n"/>
      <c r="M50" s="19" t="n"/>
      <c r="N50" s="19" t="n"/>
      <c r="O50" s="18" t="n">
        <v>7591</v>
      </c>
      <c r="P50" s="18" t="n">
        <v>390</v>
      </c>
      <c r="Q50" s="18" t="n">
        <v>46</v>
      </c>
      <c r="R50" s="18" t="inlineStr">
        <is>
          <t>null</t>
        </is>
      </c>
      <c r="S50" s="18" t="n">
        <v>8075</v>
      </c>
      <c r="T50" s="18" t="n">
        <v>411</v>
      </c>
      <c r="U50" s="18" t="n">
        <v>46</v>
      </c>
      <c r="V50" s="18" t="inlineStr">
        <is>
          <t>null</t>
        </is>
      </c>
    </row>
    <row r="51" ht="30" customHeight="1">
      <c r="A51" s="4" t="inlineStr">
        <is>
          <t>CNAE</t>
        </is>
      </c>
      <c r="B51" s="5" t="n">
        <v>461</v>
      </c>
      <c r="C51" s="13" t="inlineStr">
        <is>
          <t>Representantes comerciais e agentes do comércio, exceto de veículos automotores e motocicletas</t>
        </is>
      </c>
      <c r="D51" s="23" t="n">
        <v>64252</v>
      </c>
      <c r="E51" s="23" t="n">
        <v>67298</v>
      </c>
      <c r="F51" s="18" t="n">
        <v>68415</v>
      </c>
      <c r="G51" s="19">
        <f>F51+J51</f>
        <v/>
      </c>
      <c r="H51" s="18" t="n">
        <v>6134</v>
      </c>
      <c r="I51" s="18" t="n">
        <v>3740</v>
      </c>
      <c r="J51" s="18" t="n">
        <v>2859</v>
      </c>
      <c r="K51" s="19" t="n"/>
      <c r="L51" s="19" t="n"/>
      <c r="M51" s="19" t="n"/>
      <c r="N51" s="19" t="n"/>
      <c r="O51" s="18" t="n">
        <v>177326</v>
      </c>
      <c r="P51" s="18" t="n">
        <v>991</v>
      </c>
      <c r="Q51" s="18" t="n">
        <v>100</v>
      </c>
      <c r="R51" s="18" t="n">
        <v>46</v>
      </c>
      <c r="S51" s="18" t="n">
        <v>189654</v>
      </c>
      <c r="T51" s="18" t="n">
        <v>924</v>
      </c>
      <c r="U51" s="18" t="n">
        <v>105</v>
      </c>
      <c r="V51" s="18" t="n">
        <v>49</v>
      </c>
    </row>
    <row r="52" ht="30" customHeight="1">
      <c r="A52" s="4" t="inlineStr">
        <is>
          <t>CNAE</t>
        </is>
      </c>
      <c r="B52" s="5" t="n">
        <v>464</v>
      </c>
      <c r="C52" s="13" t="inlineStr">
        <is>
          <t>Comércio atacadista de produtos de consumo não-alimentar</t>
        </is>
      </c>
      <c r="D52" s="23" t="n">
        <v>403760</v>
      </c>
      <c r="E52" s="23" t="n">
        <v>410830</v>
      </c>
      <c r="F52" s="18" t="n">
        <v>430320</v>
      </c>
      <c r="G52" s="19">
        <f>F52+J52</f>
        <v/>
      </c>
      <c r="H52" s="18" t="n">
        <v>14950</v>
      </c>
      <c r="I52" s="18" t="n">
        <v>18096</v>
      </c>
      <c r="J52" s="18" t="n">
        <v>10756</v>
      </c>
      <c r="K52" s="19" t="n"/>
      <c r="L52" s="19" t="n"/>
      <c r="M52" s="19" t="n"/>
      <c r="N52" s="19" t="n"/>
      <c r="O52" s="18" t="n">
        <v>67998</v>
      </c>
      <c r="P52" s="18" t="n">
        <v>6657</v>
      </c>
      <c r="Q52" s="18" t="n">
        <v>740</v>
      </c>
      <c r="R52" s="18" t="n">
        <v>538</v>
      </c>
      <c r="S52" s="18" t="n">
        <v>72255</v>
      </c>
      <c r="T52" s="18" t="n">
        <v>6882</v>
      </c>
      <c r="U52" s="18" t="n">
        <v>783</v>
      </c>
      <c r="V52" s="18" t="n">
        <v>555</v>
      </c>
    </row>
    <row r="53" ht="30" customHeight="1">
      <c r="A53" s="4" t="inlineStr">
        <is>
          <t>CNAE</t>
        </is>
      </c>
      <c r="B53" s="5" t="n">
        <v>465</v>
      </c>
      <c r="C53" s="13" t="inlineStr">
        <is>
          <t>Comércio atacadista de equipamentos e produtos de tecnologias de informação e comunicação</t>
        </is>
      </c>
      <c r="D53" s="23" t="n">
        <v>39075</v>
      </c>
      <c r="E53" s="23" t="n">
        <v>37965</v>
      </c>
      <c r="F53" s="18" t="n">
        <v>38188</v>
      </c>
      <c r="G53" s="19">
        <f>F53+J53</f>
        <v/>
      </c>
      <c r="H53" s="18" t="n">
        <v>1205</v>
      </c>
      <c r="I53" s="18" t="n">
        <v>640</v>
      </c>
      <c r="J53" s="18" t="n">
        <v>278</v>
      </c>
      <c r="K53" s="19" t="n"/>
      <c r="L53" s="19" t="n"/>
      <c r="M53" s="19" t="n"/>
      <c r="N53" s="19" t="n"/>
      <c r="O53" s="18" t="n">
        <v>6258</v>
      </c>
      <c r="P53" s="18" t="n">
        <v>571</v>
      </c>
      <c r="Q53" s="18" t="n">
        <v>69</v>
      </c>
      <c r="R53" s="18" t="n">
        <v>57</v>
      </c>
      <c r="S53" s="18" t="n">
        <v>6745</v>
      </c>
      <c r="T53" s="18" t="n">
        <v>566</v>
      </c>
      <c r="U53" s="18" t="n">
        <v>76</v>
      </c>
      <c r="V53" s="18" t="n">
        <v>50</v>
      </c>
    </row>
    <row r="54" ht="45" customHeight="1">
      <c r="A54" s="4" t="inlineStr">
        <is>
          <t>CNAE</t>
        </is>
      </c>
      <c r="B54" s="5" t="n">
        <v>466</v>
      </c>
      <c r="C54" s="13" t="inlineStr">
        <is>
          <t>Comércio atacadista de máquinas, aparelhos e equipamentos, exceto de tecnologias de informação e comunicação</t>
        </is>
      </c>
      <c r="D54" s="23" t="n">
        <v>161186</v>
      </c>
      <c r="E54" s="23" t="n">
        <v>170353</v>
      </c>
      <c r="F54" s="18" t="n">
        <v>176221</v>
      </c>
      <c r="G54" s="19">
        <f>F54+J54</f>
        <v/>
      </c>
      <c r="H54" s="18" t="n">
        <v>10918</v>
      </c>
      <c r="I54" s="18" t="n">
        <v>6481</v>
      </c>
      <c r="J54" s="18" t="n">
        <v>4375</v>
      </c>
      <c r="K54" s="19" t="n"/>
      <c r="L54" s="19" t="n"/>
      <c r="M54" s="19" t="n"/>
      <c r="N54" s="19" t="n"/>
      <c r="O54" s="18" t="n">
        <v>27126</v>
      </c>
      <c r="P54" s="18" t="n">
        <v>3493</v>
      </c>
      <c r="Q54" s="18" t="n">
        <v>388</v>
      </c>
      <c r="R54" s="18" t="n">
        <v>164</v>
      </c>
      <c r="S54" s="18" t="n">
        <v>28936</v>
      </c>
      <c r="T54" s="18" t="n">
        <v>3610</v>
      </c>
      <c r="U54" s="18" t="n">
        <v>384</v>
      </c>
      <c r="V54" s="18" t="n">
        <v>186</v>
      </c>
    </row>
    <row r="55">
      <c r="A55" s="4" t="inlineStr">
        <is>
          <t>CNAE</t>
        </is>
      </c>
      <c r="B55" s="5" t="n">
        <v>468</v>
      </c>
      <c r="C55" s="13" t="inlineStr">
        <is>
          <t>Comércio atacadista especializado em outros produtos</t>
        </is>
      </c>
      <c r="D55" s="23" t="n">
        <v>270921</v>
      </c>
      <c r="E55" s="23" t="n">
        <v>277339</v>
      </c>
      <c r="F55" s="18" t="n">
        <v>281917</v>
      </c>
      <c r="G55" s="19">
        <f>F55+J55</f>
        <v/>
      </c>
      <c r="H55" s="18" t="n">
        <v>8052</v>
      </c>
      <c r="I55" s="18" t="n">
        <v>6889</v>
      </c>
      <c r="J55" s="18" t="n">
        <v>4818</v>
      </c>
      <c r="K55" s="19" t="n"/>
      <c r="L55" s="19" t="n"/>
      <c r="M55" s="19" t="n"/>
      <c r="N55" s="19" t="n"/>
      <c r="O55" s="18" t="n">
        <v>45568</v>
      </c>
      <c r="P55" s="18" t="n">
        <v>6170</v>
      </c>
      <c r="Q55" s="18" t="n">
        <v>524</v>
      </c>
      <c r="R55" s="18" t="n">
        <v>278</v>
      </c>
      <c r="S55" s="18" t="n">
        <v>48338</v>
      </c>
      <c r="T55" s="18" t="n">
        <v>6161</v>
      </c>
      <c r="U55" s="18" t="n">
        <v>555</v>
      </c>
      <c r="V55" s="18" t="n">
        <v>285</v>
      </c>
    </row>
    <row r="56" ht="45" customHeight="1">
      <c r="A56" s="4" t="inlineStr">
        <is>
          <t>CNAE</t>
        </is>
      </c>
      <c r="B56" s="5" t="n">
        <v>475</v>
      </c>
      <c r="C56" s="13" t="inlineStr">
        <is>
          <t>Comércio varejista de equipamentos de informática e comunicação; equipamentos e artigos de uso doméstico</t>
        </is>
      </c>
      <c r="D56" s="23" t="n">
        <v>810220</v>
      </c>
      <c r="E56" s="23" t="n">
        <v>785851</v>
      </c>
      <c r="F56" s="18" t="n">
        <v>778633</v>
      </c>
      <c r="G56" s="19">
        <f>F56+J56</f>
        <v/>
      </c>
      <c r="H56" s="18" t="n">
        <v>-3330</v>
      </c>
      <c r="I56" s="18" t="n">
        <v>5074</v>
      </c>
      <c r="J56" s="18" t="n">
        <v>-1761</v>
      </c>
      <c r="K56" s="19" t="n"/>
      <c r="L56" s="19" t="n"/>
      <c r="M56" s="19" t="n"/>
      <c r="N56" s="19" t="n"/>
      <c r="O56" s="18" t="n">
        <v>301399</v>
      </c>
      <c r="P56" s="18" t="n">
        <v>18069</v>
      </c>
      <c r="Q56" s="18" t="n">
        <v>600</v>
      </c>
      <c r="R56" s="18" t="n">
        <v>207</v>
      </c>
      <c r="S56" s="18" t="n">
        <v>323577</v>
      </c>
      <c r="T56" s="18" t="n">
        <v>18027</v>
      </c>
      <c r="U56" s="18" t="n">
        <v>591</v>
      </c>
      <c r="V56" s="18" t="n">
        <v>204</v>
      </c>
    </row>
    <row r="57" ht="45" customHeight="1">
      <c r="A57" s="4" t="inlineStr">
        <is>
          <t>CNAE</t>
        </is>
      </c>
      <c r="B57" s="5" t="n">
        <v>477</v>
      </c>
      <c r="C57" s="13" t="inlineStr">
        <is>
          <t>Comércio varejista de produtos farmacêuticos, perfumaria e cosméticos e artigos médicos, ópticos e ortopédicos</t>
        </is>
      </c>
      <c r="D57" s="23" t="n">
        <v>799131</v>
      </c>
      <c r="E57" s="23" t="n">
        <v>802067</v>
      </c>
      <c r="F57" s="18" t="n">
        <v>829558</v>
      </c>
      <c r="G57" s="19">
        <f>F57+J57</f>
        <v/>
      </c>
      <c r="H57" s="18" t="n">
        <v>25313</v>
      </c>
      <c r="I57" s="18" t="n">
        <v>36558</v>
      </c>
      <c r="J57" s="18" t="n">
        <v>32661</v>
      </c>
      <c r="K57" s="19" t="n"/>
      <c r="L57" s="19" t="n"/>
      <c r="M57" s="19" t="n"/>
      <c r="N57" s="19" t="n"/>
      <c r="O57" s="18" t="n">
        <v>217750</v>
      </c>
      <c r="P57" s="18" t="n">
        <v>23181</v>
      </c>
      <c r="Q57" s="18" t="n">
        <v>349</v>
      </c>
      <c r="R57" s="18" t="n">
        <v>120</v>
      </c>
      <c r="S57" s="18" t="n">
        <v>231327</v>
      </c>
      <c r="T57" s="18" t="n">
        <v>24152</v>
      </c>
      <c r="U57" s="18" t="n">
        <v>389</v>
      </c>
      <c r="V57" s="18" t="n">
        <v>131</v>
      </c>
    </row>
    <row r="58" ht="30" customHeight="1">
      <c r="A58" s="4" t="inlineStr">
        <is>
          <t>CNAE</t>
        </is>
      </c>
      <c r="B58" s="5" t="n">
        <v>478</v>
      </c>
      <c r="C58" s="13" t="inlineStr">
        <is>
          <t>Comércio varejista de produtos novos não especificados anteriormente e de produtos usados</t>
        </is>
      </c>
      <c r="D58" s="23" t="n">
        <v>1301220</v>
      </c>
      <c r="E58" s="23" t="n">
        <v>1268782</v>
      </c>
      <c r="F58" s="18" t="n">
        <v>1269494</v>
      </c>
      <c r="G58" s="19">
        <f>F58+J58</f>
        <v/>
      </c>
      <c r="H58" s="18" t="n">
        <v>12331</v>
      </c>
      <c r="I58" s="18" t="n">
        <v>18965</v>
      </c>
      <c r="J58" s="18" t="n">
        <v>3771</v>
      </c>
      <c r="K58" s="19" t="n"/>
      <c r="L58" s="19" t="n"/>
      <c r="M58" s="19" t="n"/>
      <c r="N58" s="19" t="n"/>
      <c r="O58" s="18" t="n">
        <v>579076</v>
      </c>
      <c r="P58" s="18" t="n">
        <v>26026</v>
      </c>
      <c r="Q58" s="18" t="n">
        <v>850</v>
      </c>
      <c r="R58" s="18" t="n">
        <v>198</v>
      </c>
      <c r="S58" s="18" t="n">
        <v>618927</v>
      </c>
      <c r="T58" s="18" t="n">
        <v>26311</v>
      </c>
      <c r="U58" s="18" t="n">
        <v>865</v>
      </c>
      <c r="V58" s="18" t="n">
        <v>196</v>
      </c>
    </row>
    <row r="59" ht="30" customHeight="1">
      <c r="A59" s="4" t="inlineStr">
        <is>
          <t>CNAE</t>
        </is>
      </c>
      <c r="B59" t="n">
        <v>46141</v>
      </c>
      <c r="C59" s="12" t="inlineStr">
        <is>
          <t>Representantes comerciais e agentes do comércio de máquinas, equipamentos, embarcações e aeronaves</t>
        </is>
      </c>
      <c r="D59" s="23" t="n">
        <v>4062</v>
      </c>
      <c r="E59" s="23" t="n">
        <v>4028</v>
      </c>
      <c r="F59" s="18" t="n">
        <v>4001</v>
      </c>
      <c r="G59" s="19">
        <f>F59+J59</f>
        <v/>
      </c>
      <c r="H59" s="18" t="n">
        <v>279</v>
      </c>
      <c r="I59" s="18" t="n">
        <v>347</v>
      </c>
      <c r="J59" s="18" t="n">
        <v>74</v>
      </c>
      <c r="K59" s="20" t="n"/>
      <c r="L59" s="20" t="n"/>
      <c r="M59" s="20" t="n"/>
      <c r="N59" s="20" t="n"/>
      <c r="O59" s="18" t="n">
        <v>5808</v>
      </c>
      <c r="P59" s="18" t="n">
        <v>81</v>
      </c>
      <c r="Q59" s="18" t="n">
        <v>4</v>
      </c>
      <c r="R59" s="18" t="n">
        <v>1</v>
      </c>
      <c r="S59" s="18" t="n">
        <v>6053</v>
      </c>
      <c r="T59" s="18" t="n">
        <v>75</v>
      </c>
      <c r="U59" s="18" t="n">
        <v>6</v>
      </c>
      <c r="V59" s="18" t="n">
        <v>1</v>
      </c>
    </row>
    <row r="60" ht="30" customHeight="1">
      <c r="A60" s="4" t="inlineStr">
        <is>
          <t>CNAE</t>
        </is>
      </c>
      <c r="B60" t="n">
        <v>46150</v>
      </c>
      <c r="C60" s="12" t="inlineStr">
        <is>
          <t>Representantes comerciais e agentes do comércio de eletrodomésticos, móveis e artigos de uso doméstico</t>
        </is>
      </c>
      <c r="D60" s="23" t="n">
        <v>2990</v>
      </c>
      <c r="E60" s="23" t="n">
        <v>2988</v>
      </c>
      <c r="F60" s="18" t="n">
        <v>2862</v>
      </c>
      <c r="G60" s="19">
        <f>F60+J60</f>
        <v/>
      </c>
      <c r="H60" s="18" t="n">
        <v>40</v>
      </c>
      <c r="I60" s="18" t="n">
        <v>4</v>
      </c>
      <c r="J60" s="18" t="n">
        <v>76</v>
      </c>
      <c r="K60" s="20" t="n"/>
      <c r="L60" s="20" t="n"/>
      <c r="M60" s="20" t="n"/>
      <c r="N60" s="20" t="n"/>
      <c r="O60" s="18" t="n">
        <v>5140</v>
      </c>
      <c r="P60" s="18" t="n">
        <v>68</v>
      </c>
      <c r="Q60" s="18" t="n">
        <v>2</v>
      </c>
      <c r="R60" s="18" t="n">
        <v>1</v>
      </c>
      <c r="S60" s="18" t="n">
        <v>5351</v>
      </c>
      <c r="T60" s="18" t="n">
        <v>66</v>
      </c>
      <c r="U60" s="18" t="n">
        <v>2</v>
      </c>
      <c r="V60" s="18" t="n">
        <v>1</v>
      </c>
    </row>
    <row r="61" ht="30" customHeight="1">
      <c r="A61" s="4" t="inlineStr">
        <is>
          <t>CNAE</t>
        </is>
      </c>
      <c r="B61" t="n">
        <v>46168</v>
      </c>
      <c r="C61" s="12" t="inlineStr">
        <is>
          <t>Representantes comerciais e agentes do comércio de têxteis, vestuário, calçados e artigos de viagem</t>
        </is>
      </c>
      <c r="D61" s="23" t="n">
        <v>3200</v>
      </c>
      <c r="E61" s="23" t="n">
        <v>3372</v>
      </c>
      <c r="F61" s="18" t="n">
        <v>3112</v>
      </c>
      <c r="G61" s="19">
        <f>F61+J61</f>
        <v/>
      </c>
      <c r="H61" s="18" t="n">
        <v>107</v>
      </c>
      <c r="I61" s="18" t="n">
        <v>-76</v>
      </c>
      <c r="J61" s="18" t="n">
        <v>-5</v>
      </c>
      <c r="K61" s="20" t="n"/>
      <c r="L61" s="20" t="n"/>
      <c r="M61" s="20" t="n"/>
      <c r="N61" s="20" t="n"/>
      <c r="O61" s="18" t="n">
        <v>14595</v>
      </c>
      <c r="P61" s="18" t="n">
        <v>40</v>
      </c>
      <c r="Q61" s="18" t="n">
        <v>1</v>
      </c>
      <c r="R61" s="18" t="n">
        <v>1</v>
      </c>
      <c r="S61" s="18" t="n">
        <v>14920</v>
      </c>
      <c r="T61" s="18" t="n">
        <v>34</v>
      </c>
      <c r="U61" s="18" t="inlineStr">
        <is>
          <t>null</t>
        </is>
      </c>
      <c r="V61" s="18" t="n">
        <v>1</v>
      </c>
    </row>
    <row r="62" ht="45" customHeight="1">
      <c r="A62" s="4" t="inlineStr">
        <is>
          <t>CNAE</t>
        </is>
      </c>
      <c r="B62" t="n">
        <v>46184</v>
      </c>
      <c r="C62" s="12" t="inlineStr">
        <is>
          <t>Representantes comerciais e agentes do comércio especializado em produtos não especificados anteriormente</t>
        </is>
      </c>
      <c r="D62" s="23" t="n">
        <v>11011</v>
      </c>
      <c r="E62" s="23" t="n">
        <v>13425</v>
      </c>
      <c r="F62" s="18" t="n">
        <v>14468</v>
      </c>
      <c r="G62" s="19">
        <f>F62+J62</f>
        <v/>
      </c>
      <c r="H62" s="18" t="n">
        <v>2937</v>
      </c>
      <c r="I62" s="18" t="n">
        <v>807</v>
      </c>
      <c r="J62" s="18" t="n">
        <v>1270</v>
      </c>
      <c r="K62" s="20" t="n"/>
      <c r="L62" s="20" t="n"/>
      <c r="M62" s="20" t="n"/>
      <c r="N62" s="20" t="n"/>
      <c r="O62" s="18" t="n">
        <v>30638</v>
      </c>
      <c r="P62" s="18" t="n">
        <v>129</v>
      </c>
      <c r="Q62" s="18" t="n">
        <v>10</v>
      </c>
      <c r="R62" s="18" t="n">
        <v>8</v>
      </c>
      <c r="S62" s="18" t="n">
        <v>32130</v>
      </c>
      <c r="T62" s="18" t="n">
        <v>132</v>
      </c>
      <c r="U62" s="18" t="n">
        <v>16</v>
      </c>
      <c r="V62" s="18" t="n">
        <v>8</v>
      </c>
    </row>
    <row r="63" ht="30" customHeight="1">
      <c r="A63" s="4" t="inlineStr">
        <is>
          <t>CNAE</t>
        </is>
      </c>
      <c r="B63" t="n">
        <v>46192</v>
      </c>
      <c r="C63" s="12" t="inlineStr">
        <is>
          <t>Representantes comerciais e agentes do comércio de mercadorias em geral não especializado</t>
        </is>
      </c>
      <c r="D63" s="23" t="n">
        <v>20521</v>
      </c>
      <c r="E63" s="23" t="n">
        <v>22219</v>
      </c>
      <c r="F63" s="18" t="n">
        <v>22128</v>
      </c>
      <c r="G63" s="19">
        <f>F63+J63</f>
        <v/>
      </c>
      <c r="H63" s="18" t="n">
        <v>1409</v>
      </c>
      <c r="I63" s="18" t="n">
        <v>1374</v>
      </c>
      <c r="J63" s="18" t="n">
        <v>731</v>
      </c>
      <c r="K63" s="20" t="n"/>
      <c r="L63" s="20" t="n"/>
      <c r="M63" s="20" t="n"/>
      <c r="N63" s="20" t="n"/>
      <c r="O63" s="18" t="n">
        <v>63455</v>
      </c>
      <c r="P63" s="18" t="n">
        <v>343</v>
      </c>
      <c r="Q63" s="18" t="n">
        <v>36</v>
      </c>
      <c r="R63" s="18" t="n">
        <v>13</v>
      </c>
      <c r="S63" s="18" t="n">
        <v>69626</v>
      </c>
      <c r="T63" s="18" t="n">
        <v>298</v>
      </c>
      <c r="U63" s="18" t="n">
        <v>37</v>
      </c>
      <c r="V63" s="18" t="n">
        <v>14</v>
      </c>
    </row>
    <row r="64" ht="30" customHeight="1">
      <c r="A64" s="4" t="inlineStr">
        <is>
          <t>CNAE</t>
        </is>
      </c>
      <c r="B64" t="n">
        <v>46419</v>
      </c>
      <c r="C64" s="12" t="inlineStr">
        <is>
          <t>Comércio atacadista de tecidos, artefatos de tecidos e de armarinho</t>
        </is>
      </c>
      <c r="D64" s="23" t="n">
        <v>24277</v>
      </c>
      <c r="E64" s="23" t="n">
        <v>25377</v>
      </c>
      <c r="F64" s="18" t="n">
        <v>26475</v>
      </c>
      <c r="G64" s="19">
        <f>F64+J64</f>
        <v/>
      </c>
      <c r="H64" s="18" t="n">
        <v>836</v>
      </c>
      <c r="I64" s="18" t="n">
        <v>916</v>
      </c>
      <c r="J64" s="18" t="n">
        <v>197</v>
      </c>
      <c r="K64" s="20" t="n"/>
      <c r="L64" s="20" t="n"/>
      <c r="M64" s="20" t="n"/>
      <c r="N64" s="20" t="n"/>
      <c r="O64" s="18" t="n">
        <v>5398</v>
      </c>
      <c r="P64" s="18" t="n">
        <v>592</v>
      </c>
      <c r="Q64" s="18" t="n">
        <v>41</v>
      </c>
      <c r="R64" s="18" t="n">
        <v>15</v>
      </c>
      <c r="S64" s="18" t="n">
        <v>5750</v>
      </c>
      <c r="T64" s="18" t="n">
        <v>600</v>
      </c>
      <c r="U64" s="18" t="n">
        <v>43</v>
      </c>
      <c r="V64" s="18" t="n">
        <v>18</v>
      </c>
    </row>
    <row r="65" ht="30" customHeight="1">
      <c r="A65" s="4" t="inlineStr">
        <is>
          <t>CNAE</t>
        </is>
      </c>
      <c r="B65" t="n">
        <v>46427</v>
      </c>
      <c r="C65" s="12" t="inlineStr">
        <is>
          <t>Comércio atacadista de artigos do vestuário e acessórios</t>
        </is>
      </c>
      <c r="D65" s="23" t="n">
        <v>38439</v>
      </c>
      <c r="E65" s="23" t="n">
        <v>39305</v>
      </c>
      <c r="F65" s="18" t="n">
        <v>40903</v>
      </c>
      <c r="G65" s="19">
        <f>F65+J65</f>
        <v/>
      </c>
      <c r="H65" s="18" t="n">
        <v>1387</v>
      </c>
      <c r="I65" s="18" t="n">
        <v>1167</v>
      </c>
      <c r="J65" s="18" t="n">
        <v>1630</v>
      </c>
      <c r="K65" s="20" t="n"/>
      <c r="L65" s="20" t="n"/>
      <c r="M65" s="20" t="n"/>
      <c r="N65" s="20" t="n"/>
      <c r="O65" s="18" t="n">
        <v>12058</v>
      </c>
      <c r="P65" s="18" t="n">
        <v>709</v>
      </c>
      <c r="Q65" s="18" t="n">
        <v>42</v>
      </c>
      <c r="R65" s="18" t="n">
        <v>33</v>
      </c>
      <c r="S65" s="18" t="n">
        <v>12890</v>
      </c>
      <c r="T65" s="18" t="n">
        <v>684</v>
      </c>
      <c r="U65" s="18" t="n">
        <v>51</v>
      </c>
      <c r="V65" s="18" t="n">
        <v>35</v>
      </c>
    </row>
    <row r="66">
      <c r="A66" s="4" t="inlineStr">
        <is>
          <t>CNAE</t>
        </is>
      </c>
      <c r="B66" t="n">
        <v>46435</v>
      </c>
      <c r="C66" s="12" t="inlineStr">
        <is>
          <t>Comércio atacadista de calçados e artigos de viagem</t>
        </is>
      </c>
      <c r="D66" s="23" t="n">
        <v>8167</v>
      </c>
      <c r="E66" s="23" t="n">
        <v>8680</v>
      </c>
      <c r="F66" s="18" t="n">
        <v>9733</v>
      </c>
      <c r="G66" s="19">
        <f>F66+J66</f>
        <v/>
      </c>
      <c r="H66" s="18" t="n">
        <v>234</v>
      </c>
      <c r="I66" s="18" t="n">
        <v>385</v>
      </c>
      <c r="J66" s="18" t="n">
        <v>56</v>
      </c>
      <c r="K66" s="20" t="n"/>
      <c r="L66" s="20" t="n"/>
      <c r="M66" s="20" t="n"/>
      <c r="N66" s="20" t="n"/>
      <c r="O66" s="18" t="n">
        <v>2183</v>
      </c>
      <c r="P66" s="18" t="n">
        <v>139</v>
      </c>
      <c r="Q66" s="18" t="n">
        <v>15</v>
      </c>
      <c r="R66" s="18" t="n">
        <v>14</v>
      </c>
      <c r="S66" s="18" t="n">
        <v>2303</v>
      </c>
      <c r="T66" s="18" t="n">
        <v>131</v>
      </c>
      <c r="U66" s="18" t="n">
        <v>17</v>
      </c>
      <c r="V66" s="18" t="n">
        <v>17</v>
      </c>
    </row>
    <row r="67" ht="30" customHeight="1">
      <c r="A67" s="4" t="inlineStr">
        <is>
          <t>CNAE</t>
        </is>
      </c>
      <c r="B67" t="n">
        <v>46451</v>
      </c>
      <c r="C67" s="12" t="inlineStr">
        <is>
          <t>Comércio atacadista de instrumentos e materiais para uso médico, cirúrgico, ortopédico e odontológico</t>
        </is>
      </c>
      <c r="D67" s="23" t="n">
        <v>55153</v>
      </c>
      <c r="E67" s="23" t="n">
        <v>57705</v>
      </c>
      <c r="F67" s="18" t="n">
        <v>59713</v>
      </c>
      <c r="G67" s="19">
        <f>F67+J67</f>
        <v/>
      </c>
      <c r="H67" s="18" t="n">
        <v>1693</v>
      </c>
      <c r="I67" s="18" t="n">
        <v>1550</v>
      </c>
      <c r="J67" s="18" t="n">
        <v>671</v>
      </c>
      <c r="K67" s="20" t="n"/>
      <c r="L67" s="20" t="n"/>
      <c r="M67" s="20" t="n"/>
      <c r="N67" s="20" t="n"/>
      <c r="O67" s="18" t="n">
        <v>10103</v>
      </c>
      <c r="P67" s="18" t="n">
        <v>1184</v>
      </c>
      <c r="Q67" s="18" t="n">
        <v>105</v>
      </c>
      <c r="R67" s="18" t="n">
        <v>53</v>
      </c>
      <c r="S67" s="18" t="n">
        <v>10698</v>
      </c>
      <c r="T67" s="18" t="n">
        <v>1217</v>
      </c>
      <c r="U67" s="18" t="n">
        <v>111</v>
      </c>
      <c r="V67" s="18" t="n">
        <v>56</v>
      </c>
    </row>
    <row r="68" ht="30" customHeight="1">
      <c r="A68" s="4" t="inlineStr">
        <is>
          <t>CNAE</t>
        </is>
      </c>
      <c r="B68" t="n">
        <v>46460</v>
      </c>
      <c r="C68" s="12" t="inlineStr">
        <is>
          <t>Comércio atacadista de cosméticos, produtos de perfumaria e de higiene pessoal</t>
        </is>
      </c>
      <c r="D68" s="23" t="n">
        <v>74885</v>
      </c>
      <c r="E68" s="23" t="n">
        <v>79679</v>
      </c>
      <c r="F68" s="18" t="n">
        <v>85732</v>
      </c>
      <c r="G68" s="19">
        <f>F68+J68</f>
        <v/>
      </c>
      <c r="H68" s="18" t="n">
        <v>3537</v>
      </c>
      <c r="I68" s="18" t="n">
        <v>5294</v>
      </c>
      <c r="J68" s="18" t="n">
        <v>1893</v>
      </c>
      <c r="K68" s="20" t="n"/>
      <c r="L68" s="20" t="n"/>
      <c r="M68" s="20" t="n"/>
      <c r="N68" s="20" t="n"/>
      <c r="O68" s="18" t="n">
        <v>7633</v>
      </c>
      <c r="P68" s="18" t="n">
        <v>1040</v>
      </c>
      <c r="Q68" s="18" t="n">
        <v>148</v>
      </c>
      <c r="R68" s="18" t="n">
        <v>104</v>
      </c>
      <c r="S68" s="18" t="n">
        <v>7981</v>
      </c>
      <c r="T68" s="18" t="n">
        <v>1163</v>
      </c>
      <c r="U68" s="18" t="n">
        <v>161</v>
      </c>
      <c r="V68" s="18" t="n">
        <v>101</v>
      </c>
    </row>
    <row r="69" ht="30" customHeight="1">
      <c r="A69" s="4" t="inlineStr">
        <is>
          <t>CNAE</t>
        </is>
      </c>
      <c r="B69" t="n">
        <v>46478</v>
      </c>
      <c r="C69" s="12" t="inlineStr">
        <is>
          <t>Comércio atacadista de artigos de escritório e de papelaria</t>
        </is>
      </c>
      <c r="D69" s="23" t="n">
        <v>21694</v>
      </c>
      <c r="E69" s="23" t="n">
        <v>20957</v>
      </c>
      <c r="F69" s="18" t="n">
        <v>21683</v>
      </c>
      <c r="G69" s="19">
        <f>F69+J69</f>
        <v/>
      </c>
      <c r="H69" s="18" t="n">
        <v>439</v>
      </c>
      <c r="I69" s="18" t="n">
        <v>488</v>
      </c>
      <c r="J69" s="18" t="n">
        <v>630</v>
      </c>
      <c r="K69" s="20" t="n"/>
      <c r="L69" s="20" t="n"/>
      <c r="M69" s="20" t="n"/>
      <c r="N69" s="20" t="n"/>
      <c r="O69" s="18" t="n">
        <v>4110</v>
      </c>
      <c r="P69" s="18" t="n">
        <v>359</v>
      </c>
      <c r="Q69" s="18" t="n">
        <v>45</v>
      </c>
      <c r="R69" s="18" t="n">
        <v>27</v>
      </c>
      <c r="S69" s="18" t="n">
        <v>4358</v>
      </c>
      <c r="T69" s="18" t="n">
        <v>369</v>
      </c>
      <c r="U69" s="18" t="n">
        <v>46</v>
      </c>
      <c r="V69" s="18" t="n">
        <v>25</v>
      </c>
    </row>
    <row r="70" ht="30" customHeight="1">
      <c r="A70" s="4" t="inlineStr">
        <is>
          <t>CNAE</t>
        </is>
      </c>
      <c r="B70" t="n">
        <v>46494</v>
      </c>
      <c r="C70" s="12" t="inlineStr">
        <is>
          <t>Comércio atacadista de equipamentos e artigos de uso pessoal e doméstico não especificados anteriormente</t>
        </is>
      </c>
      <c r="D70" s="23" t="n">
        <v>89012</v>
      </c>
      <c r="E70" s="23" t="n">
        <v>90981</v>
      </c>
      <c r="F70" s="18" t="n">
        <v>94305</v>
      </c>
      <c r="G70" s="19">
        <f>F70+J70</f>
        <v/>
      </c>
      <c r="H70" s="18" t="n">
        <v>3557</v>
      </c>
      <c r="I70" s="18" t="n">
        <v>3988</v>
      </c>
      <c r="J70" s="18" t="n">
        <v>2459</v>
      </c>
      <c r="K70" s="20" t="n"/>
      <c r="L70" s="20" t="n"/>
      <c r="M70" s="20" t="n"/>
      <c r="N70" s="20" t="n"/>
      <c r="O70" s="18" t="n">
        <v>20908</v>
      </c>
      <c r="P70" s="18" t="n">
        <v>1760</v>
      </c>
      <c r="Q70" s="18" t="n">
        <v>162</v>
      </c>
      <c r="R70" s="18" t="n">
        <v>99</v>
      </c>
      <c r="S70" s="18" t="n">
        <v>22272</v>
      </c>
      <c r="T70" s="18" t="n">
        <v>1832</v>
      </c>
      <c r="U70" s="18" t="n">
        <v>181</v>
      </c>
      <c r="V70" s="18" t="n">
        <v>104</v>
      </c>
    </row>
    <row r="71" ht="30" customHeight="1">
      <c r="A71" s="4" t="inlineStr">
        <is>
          <t>CNAE</t>
        </is>
      </c>
      <c r="B71" t="n">
        <v>46516</v>
      </c>
      <c r="C71" s="12" t="inlineStr">
        <is>
          <t>Comércio atacadista de computadores, periféricos e suprimentos de informática</t>
        </is>
      </c>
      <c r="D71" s="23" t="n">
        <v>23765</v>
      </c>
      <c r="E71" s="23" t="n">
        <v>23441</v>
      </c>
      <c r="F71" s="18" t="n">
        <v>23437</v>
      </c>
      <c r="G71" s="19">
        <f>F71+J71</f>
        <v/>
      </c>
      <c r="H71" s="18" t="n">
        <v>360</v>
      </c>
      <c r="I71" s="18" t="n">
        <v>116</v>
      </c>
      <c r="J71" s="18" t="n">
        <v>-118</v>
      </c>
      <c r="K71" s="20" t="n"/>
      <c r="L71" s="20" t="n"/>
      <c r="M71" s="20" t="n"/>
      <c r="N71" s="20" t="n"/>
      <c r="O71" s="18" t="n">
        <v>3550</v>
      </c>
      <c r="P71" s="18" t="n">
        <v>318</v>
      </c>
      <c r="Q71" s="18" t="n">
        <v>41</v>
      </c>
      <c r="R71" s="18" t="n">
        <v>35</v>
      </c>
      <c r="S71" s="18" t="n">
        <v>3724</v>
      </c>
      <c r="T71" s="18" t="n">
        <v>305</v>
      </c>
      <c r="U71" s="18" t="n">
        <v>46</v>
      </c>
      <c r="V71" s="18" t="n">
        <v>32</v>
      </c>
    </row>
    <row r="72" ht="30" customHeight="1">
      <c r="A72" s="4" t="inlineStr">
        <is>
          <t>CNAE</t>
        </is>
      </c>
      <c r="B72" t="n">
        <v>46524</v>
      </c>
      <c r="C72" s="12" t="inlineStr">
        <is>
          <t>Comércio atacadista de componentes eletrônicos e equipamentos de telefonia e comunicação</t>
        </is>
      </c>
      <c r="D72" s="23" t="n">
        <v>15310</v>
      </c>
      <c r="E72" s="23" t="n">
        <v>14822</v>
      </c>
      <c r="F72" s="18" t="n">
        <v>15157</v>
      </c>
      <c r="G72" s="19">
        <f>F72+J72</f>
        <v/>
      </c>
      <c r="H72" s="18" t="n">
        <v>845</v>
      </c>
      <c r="I72" s="18" t="n">
        <v>524</v>
      </c>
      <c r="J72" s="18" t="n">
        <v>396</v>
      </c>
      <c r="K72" s="20" t="n"/>
      <c r="L72" s="20" t="n"/>
      <c r="M72" s="20" t="n"/>
      <c r="N72" s="20" t="n"/>
      <c r="O72" s="18" t="n">
        <v>2708</v>
      </c>
      <c r="P72" s="18" t="n">
        <v>253</v>
      </c>
      <c r="Q72" s="18" t="n">
        <v>28</v>
      </c>
      <c r="R72" s="18" t="n">
        <v>22</v>
      </c>
      <c r="S72" s="18" t="n">
        <v>3021</v>
      </c>
      <c r="T72" s="18" t="n">
        <v>261</v>
      </c>
      <c r="U72" s="18" t="n">
        <v>30</v>
      </c>
      <c r="V72" s="18" t="n">
        <v>18</v>
      </c>
    </row>
    <row r="73" ht="30" customHeight="1">
      <c r="A73" s="4" t="inlineStr">
        <is>
          <t>CNAE</t>
        </is>
      </c>
      <c r="B73" t="n">
        <v>46613</v>
      </c>
      <c r="C73" s="12" t="inlineStr">
        <is>
          <t>Comércio atacadista de máquinas, aparelhos e equipamentos para uso agropecuário</t>
        </is>
      </c>
      <c r="D73" s="23" t="n">
        <v>47631</v>
      </c>
      <c r="E73" s="23" t="n">
        <v>51136</v>
      </c>
      <c r="F73" s="18" t="n">
        <v>51365</v>
      </c>
      <c r="G73" s="19">
        <f>F73+J73</f>
        <v/>
      </c>
      <c r="H73" s="18" t="n">
        <v>3135</v>
      </c>
      <c r="I73" s="18" t="n">
        <v>321</v>
      </c>
      <c r="J73" s="18" t="n">
        <v>817</v>
      </c>
      <c r="K73" s="20" t="n"/>
      <c r="L73" s="20" t="n"/>
      <c r="M73" s="20" t="n"/>
      <c r="N73" s="20" t="n"/>
      <c r="O73" s="18" t="n">
        <v>6077</v>
      </c>
      <c r="P73" s="18" t="n">
        <v>1236</v>
      </c>
      <c r="Q73" s="18" t="n">
        <v>134</v>
      </c>
      <c r="R73" s="18" t="n">
        <v>45</v>
      </c>
      <c r="S73" s="18" t="n">
        <v>6656</v>
      </c>
      <c r="T73" s="18" t="n">
        <v>1257</v>
      </c>
      <c r="U73" s="18" t="n">
        <v>126</v>
      </c>
      <c r="V73" s="18" t="n">
        <v>45</v>
      </c>
    </row>
    <row r="74" ht="30" customHeight="1">
      <c r="A74" s="4" t="inlineStr">
        <is>
          <t>CNAE</t>
        </is>
      </c>
      <c r="B74" t="n">
        <v>46621</v>
      </c>
      <c r="C74" s="12" t="inlineStr">
        <is>
          <t>Comércio atacadista de máquinas, equipamentos para terraplenagem, mineração e construção</t>
        </is>
      </c>
      <c r="D74" s="23" t="n">
        <v>12844</v>
      </c>
      <c r="E74" s="23" t="n">
        <v>14350</v>
      </c>
      <c r="F74" s="18" t="n">
        <v>15163</v>
      </c>
      <c r="G74" s="19">
        <f>F74+J74</f>
        <v/>
      </c>
      <c r="H74" s="18" t="n">
        <v>1466</v>
      </c>
      <c r="I74" s="18" t="n">
        <v>1078</v>
      </c>
      <c r="J74" s="18" t="n">
        <v>1304</v>
      </c>
      <c r="K74" s="20" t="n"/>
      <c r="L74" s="20" t="n"/>
      <c r="M74" s="20" t="n"/>
      <c r="N74" s="20" t="n"/>
      <c r="O74" s="18" t="n">
        <v>1209</v>
      </c>
      <c r="P74" s="18" t="n">
        <v>200</v>
      </c>
      <c r="Q74" s="18" t="n">
        <v>26</v>
      </c>
      <c r="R74" s="18" t="n">
        <v>20</v>
      </c>
      <c r="S74" s="18" t="n">
        <v>1305</v>
      </c>
      <c r="T74" s="18" t="n">
        <v>217</v>
      </c>
      <c r="U74" s="18" t="n">
        <v>27</v>
      </c>
      <c r="V74" s="18" t="n">
        <v>21</v>
      </c>
    </row>
    <row r="75" ht="30" customHeight="1">
      <c r="A75" s="4" t="inlineStr">
        <is>
          <t>CNAE</t>
        </is>
      </c>
      <c r="B75" t="n">
        <v>46630</v>
      </c>
      <c r="C75" s="12" t="inlineStr">
        <is>
          <t>Comércio atacadista de máquinas e equipamentos para uso industrial</t>
        </is>
      </c>
      <c r="D75" s="23" t="n">
        <v>44199</v>
      </c>
      <c r="E75" s="23" t="n">
        <v>46713</v>
      </c>
      <c r="F75" s="18" t="n">
        <v>49204</v>
      </c>
      <c r="G75" s="19">
        <f>F75+J75</f>
        <v/>
      </c>
      <c r="H75" s="18" t="n">
        <v>2532</v>
      </c>
      <c r="I75" s="18" t="n">
        <v>2950</v>
      </c>
      <c r="J75" s="18" t="n">
        <v>1520</v>
      </c>
      <c r="K75" s="20" t="n"/>
      <c r="L75" s="20" t="n"/>
      <c r="M75" s="20" t="n"/>
      <c r="N75" s="20" t="n"/>
      <c r="O75" s="18" t="n">
        <v>9359</v>
      </c>
      <c r="P75" s="18" t="n">
        <v>931</v>
      </c>
      <c r="Q75" s="18" t="n">
        <v>102</v>
      </c>
      <c r="R75" s="18" t="n">
        <v>42</v>
      </c>
      <c r="S75" s="18" t="n">
        <v>9922</v>
      </c>
      <c r="T75" s="18" t="n">
        <v>991</v>
      </c>
      <c r="U75" s="18" t="n">
        <v>109</v>
      </c>
      <c r="V75" s="18" t="n">
        <v>47</v>
      </c>
    </row>
    <row r="76" ht="30" customHeight="1">
      <c r="A76" s="4" t="inlineStr">
        <is>
          <t>CNAE</t>
        </is>
      </c>
      <c r="B76" t="n">
        <v>46648</v>
      </c>
      <c r="C76" s="12" t="inlineStr">
        <is>
          <t>Comércio atacadista de máquinas, aparelhos e equipamentos para uso odonto-médico-hospitalar</t>
        </is>
      </c>
      <c r="D76" s="23" t="n">
        <v>11118</v>
      </c>
      <c r="E76" s="23" t="n">
        <v>11002</v>
      </c>
      <c r="F76" s="18" t="n">
        <v>11507</v>
      </c>
      <c r="G76" s="19">
        <f>F76+J76</f>
        <v/>
      </c>
      <c r="H76" s="18" t="n">
        <v>256</v>
      </c>
      <c r="I76" s="18" t="n">
        <v>330</v>
      </c>
      <c r="J76" s="18" t="n">
        <v>125</v>
      </c>
      <c r="K76" s="20" t="n"/>
      <c r="L76" s="20" t="n"/>
      <c r="M76" s="20" t="n"/>
      <c r="N76" s="20" t="n"/>
      <c r="O76" s="18" t="n">
        <v>1987</v>
      </c>
      <c r="P76" s="18" t="n">
        <v>198</v>
      </c>
      <c r="Q76" s="18" t="n">
        <v>25</v>
      </c>
      <c r="R76" s="18" t="n">
        <v>11</v>
      </c>
      <c r="S76" s="18" t="n">
        <v>2034</v>
      </c>
      <c r="T76" s="18" t="n">
        <v>208</v>
      </c>
      <c r="U76" s="18" t="n">
        <v>25</v>
      </c>
      <c r="V76" s="18" t="n">
        <v>13</v>
      </c>
    </row>
    <row r="77" ht="30" customHeight="1">
      <c r="A77" s="4" t="inlineStr">
        <is>
          <t>CNAE</t>
        </is>
      </c>
      <c r="B77" t="n">
        <v>46656</v>
      </c>
      <c r="C77" s="12" t="inlineStr">
        <is>
          <t>Comércio atacadista de máquinas e equipamentos para uso comercial</t>
        </is>
      </c>
      <c r="D77" s="23" t="n">
        <v>10656</v>
      </c>
      <c r="E77" s="23" t="n">
        <v>11127</v>
      </c>
      <c r="F77" s="18" t="n">
        <v>11602</v>
      </c>
      <c r="G77" s="19">
        <f>F77+J77</f>
        <v/>
      </c>
      <c r="H77" s="18" t="n">
        <v>235</v>
      </c>
      <c r="I77" s="18" t="n">
        <v>544</v>
      </c>
      <c r="J77" s="18" t="n">
        <v>351</v>
      </c>
      <c r="K77" s="20" t="n"/>
      <c r="L77" s="20" t="n"/>
      <c r="M77" s="20" t="n"/>
      <c r="N77" s="20" t="n"/>
      <c r="O77" s="18" t="n">
        <v>2440</v>
      </c>
      <c r="P77" s="18" t="n">
        <v>232</v>
      </c>
      <c r="Q77" s="18" t="n">
        <v>22</v>
      </c>
      <c r="R77" s="18" t="n">
        <v>7</v>
      </c>
      <c r="S77" s="18" t="n">
        <v>2599</v>
      </c>
      <c r="T77" s="18" t="n">
        <v>243</v>
      </c>
      <c r="U77" s="18" t="n">
        <v>26</v>
      </c>
      <c r="V77" s="18" t="n">
        <v>8</v>
      </c>
    </row>
    <row r="78" ht="30" customHeight="1">
      <c r="A78" s="4" t="inlineStr">
        <is>
          <t>CNAE</t>
        </is>
      </c>
      <c r="B78" t="n">
        <v>46699</v>
      </c>
      <c r="C78" s="12" t="inlineStr">
        <is>
          <t>Comércio atacadista de máquinas, aparelhos e equipamentos não especificados anteriormente</t>
        </is>
      </c>
      <c r="D78" s="23" t="n">
        <v>34738</v>
      </c>
      <c r="E78" s="23" t="n">
        <v>37057</v>
      </c>
      <c r="F78" s="18" t="n">
        <v>38624</v>
      </c>
      <c r="G78" s="19">
        <f>F78+J78</f>
        <v/>
      </c>
      <c r="H78" s="18" t="n">
        <v>3294</v>
      </c>
      <c r="I78" s="18" t="n">
        <v>1258</v>
      </c>
      <c r="J78" s="18" t="n">
        <v>258</v>
      </c>
      <c r="K78" s="20" t="n"/>
      <c r="L78" s="20" t="n"/>
      <c r="M78" s="20" t="n"/>
      <c r="N78" s="20" t="n"/>
      <c r="O78" s="18" t="n">
        <v>6054</v>
      </c>
      <c r="P78" s="18" t="n">
        <v>696</v>
      </c>
      <c r="Q78" s="18" t="n">
        <v>79</v>
      </c>
      <c r="R78" s="18" t="n">
        <v>39</v>
      </c>
      <c r="S78" s="18" t="n">
        <v>6420</v>
      </c>
      <c r="T78" s="18" t="n">
        <v>694</v>
      </c>
      <c r="U78" s="18" t="n">
        <v>71</v>
      </c>
      <c r="V78" s="18" t="n">
        <v>52</v>
      </c>
    </row>
    <row r="79">
      <c r="A79" s="4" t="inlineStr">
        <is>
          <t>CNAE</t>
        </is>
      </c>
      <c r="B79" t="n">
        <v>46711</v>
      </c>
      <c r="C79" s="12" t="inlineStr">
        <is>
          <t>Comércio atacadista de madeira e produtos derivados</t>
        </is>
      </c>
      <c r="D79" s="23" t="n">
        <v>18243</v>
      </c>
      <c r="E79" s="23" t="n">
        <v>18114</v>
      </c>
      <c r="F79" s="18" t="n">
        <v>18189</v>
      </c>
      <c r="G79" s="19">
        <f>F79+J79</f>
        <v/>
      </c>
      <c r="H79" s="18" t="n">
        <v>176</v>
      </c>
      <c r="I79" s="18" t="n">
        <v>158</v>
      </c>
      <c r="J79" s="18" t="n">
        <v>195</v>
      </c>
      <c r="K79" s="20" t="n"/>
      <c r="L79" s="20" t="n"/>
      <c r="M79" s="20" t="n"/>
      <c r="N79" s="20" t="n"/>
      <c r="O79" s="18" t="n">
        <v>3995</v>
      </c>
      <c r="P79" s="18" t="n">
        <v>461</v>
      </c>
      <c r="Q79" s="18" t="n">
        <v>30</v>
      </c>
      <c r="R79" s="18" t="n">
        <v>14</v>
      </c>
      <c r="S79" s="18" t="n">
        <v>4227</v>
      </c>
      <c r="T79" s="18" t="n">
        <v>440</v>
      </c>
      <c r="U79" s="18" t="n">
        <v>39</v>
      </c>
      <c r="V79" s="18" t="n">
        <v>9</v>
      </c>
    </row>
    <row r="80">
      <c r="A80" s="4" t="inlineStr">
        <is>
          <t>CNAE</t>
        </is>
      </c>
      <c r="B80" t="n">
        <v>46729</v>
      </c>
      <c r="C80" s="12" t="inlineStr">
        <is>
          <t>Comércio atacadista de ferragens e ferramentas</t>
        </is>
      </c>
      <c r="D80" s="23" t="n">
        <v>34853</v>
      </c>
      <c r="E80" s="23" t="n">
        <v>37171</v>
      </c>
      <c r="F80" s="18" t="n">
        <v>40048</v>
      </c>
      <c r="G80" s="19">
        <f>F80+J80</f>
        <v/>
      </c>
      <c r="H80" s="18" t="n">
        <v>2148</v>
      </c>
      <c r="I80" s="18" t="n">
        <v>2510</v>
      </c>
      <c r="J80" s="18" t="n">
        <v>1302</v>
      </c>
      <c r="K80" s="20" t="n"/>
      <c r="L80" s="20" t="n"/>
      <c r="M80" s="20" t="n"/>
      <c r="N80" s="20" t="n"/>
      <c r="O80" s="18" t="n">
        <v>4384</v>
      </c>
      <c r="P80" s="18" t="n">
        <v>776</v>
      </c>
      <c r="Q80" s="18" t="n">
        <v>107</v>
      </c>
      <c r="R80" s="18" t="n">
        <v>40</v>
      </c>
      <c r="S80" s="18" t="n">
        <v>4672</v>
      </c>
      <c r="T80" s="18" t="n">
        <v>811</v>
      </c>
      <c r="U80" s="18" t="n">
        <v>106</v>
      </c>
      <c r="V80" s="18" t="n">
        <v>47</v>
      </c>
    </row>
    <row r="81">
      <c r="A81" s="4" t="inlineStr">
        <is>
          <t>CNAE</t>
        </is>
      </c>
      <c r="B81" t="n">
        <v>46737</v>
      </c>
      <c r="C81" s="12" t="inlineStr">
        <is>
          <t>Comércio atacadista de material elétrico</t>
        </is>
      </c>
      <c r="D81" s="23" t="n">
        <v>20309</v>
      </c>
      <c r="E81" s="23" t="n">
        <v>22075</v>
      </c>
      <c r="F81" s="18" t="n">
        <v>23368</v>
      </c>
      <c r="G81" s="19">
        <f>F81+J81</f>
        <v/>
      </c>
      <c r="H81" s="18" t="n">
        <v>601</v>
      </c>
      <c r="I81" s="18" t="n">
        <v>1174</v>
      </c>
      <c r="J81" s="18" t="n">
        <v>216</v>
      </c>
      <c r="K81" s="20" t="n"/>
      <c r="L81" s="20" t="n"/>
      <c r="M81" s="20" t="n"/>
      <c r="N81" s="20" t="n"/>
      <c r="O81" s="18" t="n">
        <v>2982</v>
      </c>
      <c r="P81" s="18" t="n">
        <v>368</v>
      </c>
      <c r="Q81" s="18" t="n">
        <v>63</v>
      </c>
      <c r="R81" s="18" t="n">
        <v>28</v>
      </c>
      <c r="S81" s="18" t="n">
        <v>3151</v>
      </c>
      <c r="T81" s="18" t="n">
        <v>374</v>
      </c>
      <c r="U81" s="18" t="n">
        <v>66</v>
      </c>
      <c r="V81" s="18" t="n">
        <v>29</v>
      </c>
    </row>
    <row r="82" ht="45" customHeight="1">
      <c r="A82" s="4" t="inlineStr">
        <is>
          <t>CNAE</t>
        </is>
      </c>
      <c r="B82" t="n">
        <v>46796</v>
      </c>
      <c r="C82" s="12" t="inlineStr">
        <is>
          <t>Comércio atacadista especializado de materiais de construção não especificados anteriormente e de materiais de construção em geral</t>
        </is>
      </c>
      <c r="D82" s="23" t="n">
        <v>65782</v>
      </c>
      <c r="E82" s="23" t="n">
        <v>71981</v>
      </c>
      <c r="F82" s="18" t="n">
        <v>74715</v>
      </c>
      <c r="G82" s="19">
        <f>F82+J82</f>
        <v/>
      </c>
      <c r="H82" s="18" t="n">
        <v>3275</v>
      </c>
      <c r="I82" s="18" t="n">
        <v>2849</v>
      </c>
      <c r="J82" s="18" t="n">
        <v>1309</v>
      </c>
      <c r="K82" s="20" t="n"/>
      <c r="L82" s="20" t="n"/>
      <c r="M82" s="20" t="n"/>
      <c r="N82" s="20" t="n"/>
      <c r="O82" s="18" t="n">
        <v>11662</v>
      </c>
      <c r="P82" s="18" t="n">
        <v>1480</v>
      </c>
      <c r="Q82" s="18" t="n">
        <v>166</v>
      </c>
      <c r="R82" s="18" t="n">
        <v>91</v>
      </c>
      <c r="S82" s="18" t="n">
        <v>12626</v>
      </c>
      <c r="T82" s="18" t="n">
        <v>1484</v>
      </c>
      <c r="U82" s="18" t="n">
        <v>158</v>
      </c>
      <c r="V82" s="18" t="n">
        <v>101</v>
      </c>
    </row>
    <row r="83">
      <c r="A83" s="4" t="inlineStr">
        <is>
          <t>CNAE</t>
        </is>
      </c>
      <c r="B83" t="n">
        <v>46826</v>
      </c>
      <c r="C83" s="12" t="inlineStr">
        <is>
          <t>Comércio atacadista de gás liquefeito de petróleo (glp)</t>
        </is>
      </c>
      <c r="D83" s="23" t="n">
        <v>18290</v>
      </c>
      <c r="E83" s="23" t="n">
        <v>18926</v>
      </c>
      <c r="F83" s="18" t="n">
        <v>19109</v>
      </c>
      <c r="G83" s="19">
        <f>F83+J83</f>
        <v/>
      </c>
      <c r="H83" s="18" t="n">
        <v>566</v>
      </c>
      <c r="I83" s="18" t="n">
        <v>131</v>
      </c>
      <c r="J83" s="18" t="n">
        <v>768</v>
      </c>
      <c r="K83" s="20" t="n"/>
      <c r="L83" s="20" t="n"/>
      <c r="M83" s="20" t="n"/>
      <c r="N83" s="20" t="n"/>
      <c r="O83" s="18" t="n">
        <v>698</v>
      </c>
      <c r="P83" s="18" t="n">
        <v>141</v>
      </c>
      <c r="Q83" s="18" t="n">
        <v>43</v>
      </c>
      <c r="R83" s="18" t="n">
        <v>64</v>
      </c>
      <c r="S83" s="18" t="n">
        <v>672</v>
      </c>
      <c r="T83" s="18" t="n">
        <v>139</v>
      </c>
      <c r="U83" s="18" t="n">
        <v>47</v>
      </c>
      <c r="V83" s="18" t="n">
        <v>62</v>
      </c>
    </row>
    <row r="84" ht="30" customHeight="1">
      <c r="A84" s="4" t="inlineStr">
        <is>
          <t>CNAE</t>
        </is>
      </c>
      <c r="B84" t="n">
        <v>46834</v>
      </c>
      <c r="C84" s="12" t="inlineStr">
        <is>
          <t>Comércio atacadista de defensivos agrícolas, adubos, fertilizantes e corretivos do solo</t>
        </is>
      </c>
      <c r="D84" s="23" t="n">
        <v>52210</v>
      </c>
      <c r="E84" s="23" t="n">
        <v>56799</v>
      </c>
      <c r="F84" s="18" t="n">
        <v>56392</v>
      </c>
      <c r="G84" s="19">
        <f>F84+J84</f>
        <v/>
      </c>
      <c r="H84" s="18" t="n">
        <v>3060</v>
      </c>
      <c r="I84" s="18" t="n">
        <v>-834</v>
      </c>
      <c r="J84" s="18" t="n">
        <v>-286</v>
      </c>
      <c r="K84" s="20" t="n"/>
      <c r="L84" s="20" t="n"/>
      <c r="M84" s="20" t="n"/>
      <c r="N84" s="20" t="n"/>
      <c r="O84" s="18" t="n">
        <v>7995</v>
      </c>
      <c r="P84" s="18" t="n">
        <v>1702</v>
      </c>
      <c r="Q84" s="18" t="n">
        <v>79</v>
      </c>
      <c r="R84" s="18" t="n">
        <v>35</v>
      </c>
      <c r="S84" s="18" t="n">
        <v>8772</v>
      </c>
      <c r="T84" s="18" t="n">
        <v>1631</v>
      </c>
      <c r="U84" s="18" t="n">
        <v>75</v>
      </c>
      <c r="V84" s="18" t="n">
        <v>37</v>
      </c>
    </row>
    <row r="85" ht="30" customHeight="1">
      <c r="A85" s="4" t="inlineStr">
        <is>
          <t>CNAE</t>
        </is>
      </c>
      <c r="B85" t="n">
        <v>46842</v>
      </c>
      <c r="C85" s="12" t="inlineStr">
        <is>
          <t>Comércio atacadista de produtos químicos e petroquímicos, exceto agroquímicos</t>
        </is>
      </c>
      <c r="D85" s="23" t="n">
        <v>16654</v>
      </c>
      <c r="E85" s="23" t="n">
        <v>17854</v>
      </c>
      <c r="F85" s="18" t="n">
        <v>18216</v>
      </c>
      <c r="G85" s="19">
        <f>F85+J85</f>
        <v/>
      </c>
      <c r="H85" s="18" t="n">
        <v>597</v>
      </c>
      <c r="I85" s="18" t="n">
        <v>527</v>
      </c>
      <c r="J85" s="18" t="n">
        <v>311</v>
      </c>
      <c r="K85" s="20" t="n"/>
      <c r="L85" s="20" t="n"/>
      <c r="M85" s="20" t="n"/>
      <c r="N85" s="20" t="n"/>
      <c r="O85" s="18" t="n">
        <v>2925</v>
      </c>
      <c r="P85" s="18" t="n">
        <v>383</v>
      </c>
      <c r="Q85" s="18" t="n">
        <v>40</v>
      </c>
      <c r="R85" s="18" t="n">
        <v>17</v>
      </c>
      <c r="S85" s="18" t="n">
        <v>3064</v>
      </c>
      <c r="T85" s="18" t="n">
        <v>395</v>
      </c>
      <c r="U85" s="18" t="n">
        <v>41</v>
      </c>
      <c r="V85" s="18" t="n">
        <v>19</v>
      </c>
    </row>
    <row r="86" ht="30" customHeight="1">
      <c r="A86" s="4" t="inlineStr">
        <is>
          <t>CNAE</t>
        </is>
      </c>
      <c r="B86" t="n">
        <v>46851</v>
      </c>
      <c r="C86" s="12" t="inlineStr">
        <is>
          <t>Comércio atacadista de produtos siderúrgicos e metalúrgicos, exceto para construção</t>
        </is>
      </c>
      <c r="D86" s="23" t="n">
        <v>17203</v>
      </c>
      <c r="E86" s="23" t="n">
        <v>18644</v>
      </c>
      <c r="F86" s="18" t="n">
        <v>19260</v>
      </c>
      <c r="G86" s="19">
        <f>F86+J86</f>
        <v/>
      </c>
      <c r="H86" s="18" t="n">
        <v>594</v>
      </c>
      <c r="I86" s="18" t="n">
        <v>837</v>
      </c>
      <c r="J86" s="18" t="n">
        <v>477</v>
      </c>
      <c r="K86" s="20" t="n"/>
      <c r="L86" s="20" t="n"/>
      <c r="M86" s="20" t="n"/>
      <c r="N86" s="20" t="n"/>
      <c r="O86" s="18" t="n">
        <v>1965</v>
      </c>
      <c r="P86" s="18" t="n">
        <v>346</v>
      </c>
      <c r="Q86" s="18" t="n">
        <v>52</v>
      </c>
      <c r="R86" s="18" t="n">
        <v>27</v>
      </c>
      <c r="S86" s="18" t="n">
        <v>2082</v>
      </c>
      <c r="T86" s="18" t="n">
        <v>365</v>
      </c>
      <c r="U86" s="18" t="n">
        <v>51</v>
      </c>
      <c r="V86" s="18" t="n">
        <v>27</v>
      </c>
    </row>
    <row r="87" ht="30" customHeight="1">
      <c r="A87" s="4" t="inlineStr">
        <is>
          <t>CNAE</t>
        </is>
      </c>
      <c r="B87" t="n">
        <v>46869</v>
      </c>
      <c r="C87" s="12" t="inlineStr">
        <is>
          <t>Comércio atacadista de papel e papelão em bruto e de embalagens</t>
        </is>
      </c>
      <c r="D87" s="23" t="n">
        <v>31256</v>
      </c>
      <c r="E87" s="23" t="n">
        <v>33067</v>
      </c>
      <c r="F87" s="18" t="n">
        <v>34260</v>
      </c>
      <c r="G87" s="19">
        <f>F87+J87</f>
        <v/>
      </c>
      <c r="H87" s="18" t="n">
        <v>1822</v>
      </c>
      <c r="I87" s="18" t="n">
        <v>1741</v>
      </c>
      <c r="J87" s="18" t="n">
        <v>1723</v>
      </c>
      <c r="K87" s="20" t="n"/>
      <c r="L87" s="20" t="n"/>
      <c r="M87" s="20" t="n"/>
      <c r="N87" s="20" t="n"/>
      <c r="O87" s="18" t="n">
        <v>7882</v>
      </c>
      <c r="P87" s="18" t="n">
        <v>807</v>
      </c>
      <c r="Q87" s="18" t="n">
        <v>60</v>
      </c>
      <c r="R87" s="18" t="n">
        <v>20</v>
      </c>
      <c r="S87" s="18" t="n">
        <v>8570</v>
      </c>
      <c r="T87" s="18" t="n">
        <v>807</v>
      </c>
      <c r="U87" s="18" t="n">
        <v>65</v>
      </c>
      <c r="V87" s="18" t="n">
        <v>23</v>
      </c>
    </row>
    <row r="88">
      <c r="A88" s="4" t="inlineStr">
        <is>
          <t>CNAE</t>
        </is>
      </c>
      <c r="B88" t="n">
        <v>46877</v>
      </c>
      <c r="C88" s="12" t="inlineStr">
        <is>
          <t>Comércio atacadista de resíduos e sucatas</t>
        </is>
      </c>
      <c r="D88" s="23" t="n">
        <v>54522</v>
      </c>
      <c r="E88" s="23" t="n">
        <v>52297</v>
      </c>
      <c r="F88" s="18" t="n">
        <v>52883</v>
      </c>
      <c r="G88" s="19">
        <f>F88+J88</f>
        <v/>
      </c>
      <c r="H88" s="18" t="n">
        <v>-2117</v>
      </c>
      <c r="I88" s="18" t="n">
        <v>727</v>
      </c>
      <c r="J88" s="18" t="n">
        <v>1419</v>
      </c>
      <c r="K88" s="20" t="n"/>
      <c r="L88" s="20" t="n"/>
      <c r="M88" s="20" t="n"/>
      <c r="N88" s="20" t="n"/>
      <c r="O88" s="18" t="n">
        <v>11667</v>
      </c>
      <c r="P88" s="18" t="n">
        <v>1290</v>
      </c>
      <c r="Q88" s="18" t="n">
        <v>87</v>
      </c>
      <c r="R88" s="18" t="n">
        <v>34</v>
      </c>
      <c r="S88" s="18" t="n">
        <v>12162</v>
      </c>
      <c r="T88" s="18" t="n">
        <v>1324</v>
      </c>
      <c r="U88" s="18" t="n">
        <v>89</v>
      </c>
      <c r="V88" s="18" t="n">
        <v>30</v>
      </c>
    </row>
    <row r="89" ht="30" customHeight="1">
      <c r="A89" s="4" t="inlineStr">
        <is>
          <t>CNAE</t>
        </is>
      </c>
      <c r="B89" t="n">
        <v>46893</v>
      </c>
      <c r="C89" s="12" t="inlineStr">
        <is>
          <t>Comércio atacadista especializado de outros produtos intermediários não especificados anteriormente</t>
        </is>
      </c>
      <c r="D89" s="23" t="n">
        <v>46724</v>
      </c>
      <c r="E89" s="23" t="n">
        <v>46132</v>
      </c>
      <c r="F89" s="18" t="n">
        <v>46246</v>
      </c>
      <c r="G89" s="19">
        <f>F89+J89</f>
        <v/>
      </c>
      <c r="H89" s="18" t="n">
        <v>1494</v>
      </c>
      <c r="I89" s="18" t="n">
        <v>1528</v>
      </c>
      <c r="J89" s="18" t="n">
        <v>507</v>
      </c>
      <c r="K89" s="20" t="n"/>
      <c r="L89" s="20" t="n"/>
      <c r="M89" s="20" t="n"/>
      <c r="N89" s="20" t="n"/>
      <c r="O89" s="18" t="n">
        <v>8413</v>
      </c>
      <c r="P89" s="18" t="n">
        <v>772</v>
      </c>
      <c r="Q89" s="18" t="n">
        <v>76</v>
      </c>
      <c r="R89" s="18" t="n">
        <v>45</v>
      </c>
      <c r="S89" s="18" t="n">
        <v>8766</v>
      </c>
      <c r="T89" s="18" t="n">
        <v>769</v>
      </c>
      <c r="U89" s="18" t="n">
        <v>79</v>
      </c>
      <c r="V89" s="18" t="n">
        <v>48</v>
      </c>
    </row>
    <row r="90">
      <c r="A90" s="4" t="inlineStr">
        <is>
          <t>CNAE</t>
        </is>
      </c>
      <c r="B90" t="n">
        <v>47237</v>
      </c>
      <c r="C90" s="12" t="inlineStr">
        <is>
          <t>Comércio varejista de bebidas</t>
        </is>
      </c>
      <c r="D90" s="23" t="n">
        <v>58849</v>
      </c>
      <c r="E90" s="23" t="n">
        <v>61382</v>
      </c>
      <c r="F90" s="18" t="n">
        <v>63374</v>
      </c>
      <c r="G90" s="19">
        <f>F90+J90</f>
        <v/>
      </c>
      <c r="H90" s="18" t="n">
        <v>4189</v>
      </c>
      <c r="I90" s="18" t="n">
        <v>2305</v>
      </c>
      <c r="J90" s="18" t="n">
        <v>2344</v>
      </c>
      <c r="K90" s="20" t="n"/>
      <c r="L90" s="20" t="n"/>
      <c r="M90" s="20" t="n"/>
      <c r="N90" s="20" t="n"/>
      <c r="O90" s="18" t="n">
        <v>59598</v>
      </c>
      <c r="P90" s="18" t="n">
        <v>876</v>
      </c>
      <c r="Q90" s="18" t="n">
        <v>58</v>
      </c>
      <c r="R90" s="18" t="n">
        <v>18</v>
      </c>
      <c r="S90" s="18" t="n">
        <v>65695</v>
      </c>
      <c r="T90" s="18" t="n">
        <v>973</v>
      </c>
      <c r="U90" s="18" t="n">
        <v>57</v>
      </c>
      <c r="V90" s="18" t="n">
        <v>20</v>
      </c>
    </row>
    <row r="91">
      <c r="A91" s="4" t="inlineStr">
        <is>
          <t>CNAE</t>
        </is>
      </c>
      <c r="B91" t="n">
        <v>47423</v>
      </c>
      <c r="C91" s="12" t="inlineStr">
        <is>
          <t>Comércio varejista de material elétrico</t>
        </is>
      </c>
      <c r="D91" s="23" t="n">
        <v>64964</v>
      </c>
      <c r="E91" s="23" t="n">
        <v>65168</v>
      </c>
      <c r="F91" s="18" t="n">
        <v>67442</v>
      </c>
      <c r="G91" s="19">
        <f>F91+J91</f>
        <v/>
      </c>
      <c r="H91" s="18" t="n">
        <v>1757</v>
      </c>
      <c r="I91" s="18" t="n">
        <v>2803</v>
      </c>
      <c r="J91" s="18" t="n">
        <v>472</v>
      </c>
      <c r="K91" s="20" t="n"/>
      <c r="L91" s="20" t="n"/>
      <c r="M91" s="20" t="n"/>
      <c r="N91" s="20" t="n"/>
      <c r="O91" s="18" t="n">
        <v>25499</v>
      </c>
      <c r="P91" s="18" t="n">
        <v>1453</v>
      </c>
      <c r="Q91" s="18" t="n">
        <v>72</v>
      </c>
      <c r="R91" s="18" t="n">
        <v>20</v>
      </c>
      <c r="S91" s="18" t="n">
        <v>27583</v>
      </c>
      <c r="T91" s="18" t="n">
        <v>1475</v>
      </c>
      <c r="U91" s="18" t="n">
        <v>79</v>
      </c>
      <c r="V91" s="18" t="n">
        <v>25</v>
      </c>
    </row>
    <row r="92">
      <c r="A92" s="4" t="inlineStr">
        <is>
          <t>CNAE</t>
        </is>
      </c>
      <c r="B92" t="n">
        <v>47431</v>
      </c>
      <c r="C92" s="12" t="inlineStr">
        <is>
          <t>Comércio varejista de vidros</t>
        </is>
      </c>
      <c r="D92" s="23" t="n">
        <v>37973</v>
      </c>
      <c r="E92" s="23" t="n">
        <v>37206</v>
      </c>
      <c r="F92" s="18" t="n">
        <v>37368</v>
      </c>
      <c r="G92" s="19">
        <f>F92+J92</f>
        <v/>
      </c>
      <c r="H92" s="18" t="n">
        <v>-105</v>
      </c>
      <c r="I92" s="18" t="n">
        <v>364</v>
      </c>
      <c r="J92" s="18" t="n">
        <v>33</v>
      </c>
      <c r="K92" s="20" t="n"/>
      <c r="L92" s="20" t="n"/>
      <c r="M92" s="20" t="n"/>
      <c r="N92" s="20" t="n"/>
      <c r="O92" s="18" t="n">
        <v>16318</v>
      </c>
      <c r="P92" s="18" t="n">
        <v>776</v>
      </c>
      <c r="Q92" s="18" t="n">
        <v>20</v>
      </c>
      <c r="R92" s="18" t="n">
        <v>5</v>
      </c>
      <c r="S92" s="18" t="n">
        <v>17426</v>
      </c>
      <c r="T92" s="18" t="n">
        <v>757</v>
      </c>
      <c r="U92" s="18" t="n">
        <v>24</v>
      </c>
      <c r="V92" s="18" t="n">
        <v>4</v>
      </c>
    </row>
    <row r="93" ht="30" customHeight="1">
      <c r="A93" s="4" t="inlineStr">
        <is>
          <t>CNAE</t>
        </is>
      </c>
      <c r="B93" t="n">
        <v>47440</v>
      </c>
      <c r="C93" s="12" t="inlineStr">
        <is>
          <t>Comércio varejista de ferragens, madeira e materiais de construção</t>
        </is>
      </c>
      <c r="D93" s="23" t="n">
        <v>664255</v>
      </c>
      <c r="E93" s="23" t="n">
        <v>658617</v>
      </c>
      <c r="F93" s="18" t="n">
        <v>660964</v>
      </c>
      <c r="G93" s="19">
        <f>F93+J93</f>
        <v/>
      </c>
      <c r="H93" s="18" t="n">
        <v>6315</v>
      </c>
      <c r="I93" s="18" t="n">
        <v>10609</v>
      </c>
      <c r="J93" s="18" t="n">
        <v>1718</v>
      </c>
      <c r="K93" s="20" t="n"/>
      <c r="L93" s="20" t="n"/>
      <c r="M93" s="20" t="n"/>
      <c r="N93" s="20" t="n"/>
      <c r="O93" s="18" t="n">
        <v>197504</v>
      </c>
      <c r="P93" s="18" t="n">
        <v>15323</v>
      </c>
      <c r="Q93" s="18" t="n">
        <v>573</v>
      </c>
      <c r="R93" s="18" t="n">
        <v>255</v>
      </c>
      <c r="S93" s="18" t="n">
        <v>208740</v>
      </c>
      <c r="T93" s="18" t="n">
        <v>15423</v>
      </c>
      <c r="U93" s="18" t="n">
        <v>610</v>
      </c>
      <c r="V93" s="18" t="n">
        <v>255</v>
      </c>
    </row>
    <row r="94" ht="30" customHeight="1">
      <c r="A94" s="4" t="inlineStr">
        <is>
          <t>CNAE</t>
        </is>
      </c>
      <c r="B94" t="n">
        <v>47512</v>
      </c>
      <c r="C94" s="12" t="inlineStr">
        <is>
          <t>Comércio varejista especializado de equipamentos e suprimentos de informática</t>
        </is>
      </c>
      <c r="D94" s="23" t="n">
        <v>115077</v>
      </c>
      <c r="E94" s="23" t="n">
        <v>110980</v>
      </c>
      <c r="F94" s="18" t="n">
        <v>108864</v>
      </c>
      <c r="G94" s="19">
        <f>F94+J94</f>
        <v/>
      </c>
      <c r="H94" s="18" t="n">
        <v>-525</v>
      </c>
      <c r="I94" s="18" t="n">
        <v>-830</v>
      </c>
      <c r="J94" s="18" t="n">
        <v>-3072</v>
      </c>
      <c r="K94" s="20" t="n"/>
      <c r="L94" s="20" t="n"/>
      <c r="M94" s="20" t="n"/>
      <c r="N94" s="20" t="n"/>
      <c r="O94" s="18" t="n">
        <v>50109</v>
      </c>
      <c r="P94" s="18" t="n">
        <v>1842</v>
      </c>
      <c r="Q94" s="18" t="n">
        <v>102</v>
      </c>
      <c r="R94" s="18" t="n">
        <v>43</v>
      </c>
      <c r="S94" s="18" t="n">
        <v>53046</v>
      </c>
      <c r="T94" s="18" t="n">
        <v>1810</v>
      </c>
      <c r="U94" s="18" t="n">
        <v>98</v>
      </c>
      <c r="V94" s="18" t="n">
        <v>48</v>
      </c>
    </row>
    <row r="95" ht="30" customHeight="1">
      <c r="A95" s="4" t="inlineStr">
        <is>
          <t>CNAE</t>
        </is>
      </c>
      <c r="B95" t="n">
        <v>47521</v>
      </c>
      <c r="C95" s="12" t="inlineStr">
        <is>
          <t>Comércio varejista especializado de equipamentos de telefonia e comunicação</t>
        </is>
      </c>
      <c r="D95" s="23" t="n">
        <v>78296</v>
      </c>
      <c r="E95" s="23" t="n">
        <v>82516</v>
      </c>
      <c r="F95" s="18" t="n">
        <v>83849</v>
      </c>
      <c r="G95" s="19">
        <f>F95+J95</f>
        <v/>
      </c>
      <c r="H95" s="18" t="n">
        <v>1723</v>
      </c>
      <c r="I95" s="18" t="n">
        <v>484</v>
      </c>
      <c r="J95" s="18" t="n">
        <v>-376</v>
      </c>
      <c r="K95" s="20" t="n"/>
      <c r="L95" s="20" t="n"/>
      <c r="M95" s="20" t="n"/>
      <c r="N95" s="20" t="n"/>
      <c r="O95" s="18" t="n">
        <v>39254</v>
      </c>
      <c r="P95" s="18" t="n">
        <v>1460</v>
      </c>
      <c r="Q95" s="18" t="n">
        <v>61</v>
      </c>
      <c r="R95" s="18" t="n">
        <v>29</v>
      </c>
      <c r="S95" s="18" t="n">
        <v>43558</v>
      </c>
      <c r="T95" s="18" t="n">
        <v>1430</v>
      </c>
      <c r="U95" s="18" t="n">
        <v>59</v>
      </c>
      <c r="V95" s="18" t="n">
        <v>27</v>
      </c>
    </row>
    <row r="96" ht="30" customHeight="1">
      <c r="A96" s="4" t="inlineStr">
        <is>
          <t>CNAE</t>
        </is>
      </c>
      <c r="B96" t="n">
        <v>47539</v>
      </c>
      <c r="C96" s="12" t="inlineStr">
        <is>
          <t>Comércio varejista especializado de eletrodomésticos e equipamentos de áudio e vídeo</t>
        </is>
      </c>
      <c r="D96" s="23" t="n">
        <v>161792</v>
      </c>
      <c r="E96" s="23" t="n">
        <v>153922</v>
      </c>
      <c r="F96" s="18" t="n">
        <v>148119</v>
      </c>
      <c r="G96" s="19">
        <f>F96+J96</f>
        <v/>
      </c>
      <c r="H96" s="18" t="n">
        <v>-7386</v>
      </c>
      <c r="I96" s="18" t="n">
        <v>-3036</v>
      </c>
      <c r="J96" s="18" t="n">
        <v>-2693</v>
      </c>
      <c r="K96" s="20" t="n"/>
      <c r="L96" s="20" t="n"/>
      <c r="M96" s="20" t="n"/>
      <c r="N96" s="20" t="n"/>
      <c r="O96" s="18" t="n">
        <v>30060</v>
      </c>
      <c r="P96" s="18" t="n">
        <v>4675</v>
      </c>
      <c r="Q96" s="18" t="n">
        <v>165</v>
      </c>
      <c r="R96" s="18" t="n">
        <v>48</v>
      </c>
      <c r="S96" s="18" t="n">
        <v>32211</v>
      </c>
      <c r="T96" s="18" t="n">
        <v>4670</v>
      </c>
      <c r="U96" s="18" t="n">
        <v>145</v>
      </c>
      <c r="V96" s="18" t="n">
        <v>47</v>
      </c>
    </row>
    <row r="97" ht="30" customHeight="1">
      <c r="A97" s="4" t="inlineStr">
        <is>
          <t>CNAE</t>
        </is>
      </c>
      <c r="B97" t="n">
        <v>47547</v>
      </c>
      <c r="C97" s="12" t="inlineStr">
        <is>
          <t>Comércio varejista especializado de móveis, colchoaria e artigos de iluminação</t>
        </is>
      </c>
      <c r="D97" s="23" t="n">
        <v>220027</v>
      </c>
      <c r="E97" s="23" t="n">
        <v>215264</v>
      </c>
      <c r="F97" s="18" t="n">
        <v>215802</v>
      </c>
      <c r="G97" s="19">
        <f>F97+J97</f>
        <v/>
      </c>
      <c r="H97" s="18" t="n">
        <v>-2035</v>
      </c>
      <c r="I97" s="18" t="n">
        <v>3350</v>
      </c>
      <c r="J97" s="18" t="n">
        <v>264</v>
      </c>
      <c r="K97" s="20" t="n"/>
      <c r="L97" s="20" t="n"/>
      <c r="M97" s="20" t="n"/>
      <c r="N97" s="20" t="n"/>
      <c r="O97" s="18" t="n">
        <v>78724</v>
      </c>
      <c r="P97" s="18" t="n">
        <v>4896</v>
      </c>
      <c r="Q97" s="18" t="n">
        <v>106</v>
      </c>
      <c r="R97" s="18" t="n">
        <v>41</v>
      </c>
      <c r="S97" s="18" t="n">
        <v>82639</v>
      </c>
      <c r="T97" s="18" t="n">
        <v>4889</v>
      </c>
      <c r="U97" s="18" t="n">
        <v>113</v>
      </c>
      <c r="V97" s="18" t="n">
        <v>36</v>
      </c>
    </row>
    <row r="98" ht="30" customHeight="1">
      <c r="A98" s="4" t="inlineStr">
        <is>
          <t>CNAE</t>
        </is>
      </c>
      <c r="B98" t="n">
        <v>47555</v>
      </c>
      <c r="C98" s="12" t="inlineStr">
        <is>
          <t>Comércio varejista especializado de tecidos e artigos de cama, mesa e banho</t>
        </is>
      </c>
      <c r="D98" s="23" t="n">
        <v>107207</v>
      </c>
      <c r="E98" s="23" t="n">
        <v>106418</v>
      </c>
      <c r="F98" s="18" t="n">
        <v>106008</v>
      </c>
      <c r="G98" s="19">
        <f>F98+J98</f>
        <v/>
      </c>
      <c r="H98" s="18" t="n">
        <v>289</v>
      </c>
      <c r="I98" s="18" t="n">
        <v>505</v>
      </c>
      <c r="J98" s="18" t="n">
        <v>412</v>
      </c>
      <c r="K98" s="20" t="n"/>
      <c r="L98" s="20" t="n"/>
      <c r="M98" s="20" t="n"/>
      <c r="N98" s="20" t="n"/>
      <c r="O98" s="18" t="n">
        <v>48064</v>
      </c>
      <c r="P98" s="18" t="n">
        <v>2361</v>
      </c>
      <c r="Q98" s="18" t="n">
        <v>62</v>
      </c>
      <c r="R98" s="18" t="n">
        <v>15</v>
      </c>
      <c r="S98" s="18" t="n">
        <v>51494</v>
      </c>
      <c r="T98" s="18" t="n">
        <v>2362</v>
      </c>
      <c r="U98" s="18" t="n">
        <v>61</v>
      </c>
      <c r="V98" s="18" t="n">
        <v>17</v>
      </c>
    </row>
    <row r="99" ht="30" customHeight="1">
      <c r="A99" s="4" t="inlineStr">
        <is>
          <t>CNAE</t>
        </is>
      </c>
      <c r="B99" t="n">
        <v>47563</v>
      </c>
      <c r="C99" s="12" t="inlineStr">
        <is>
          <t>Comércio varejista especializado de instrumentos musicais e acessórios</t>
        </is>
      </c>
      <c r="D99" s="23" t="n">
        <v>4779</v>
      </c>
      <c r="E99" s="23" t="n">
        <v>4642</v>
      </c>
      <c r="F99" s="18" t="n">
        <v>4637</v>
      </c>
      <c r="G99" s="19">
        <f>F99+J99</f>
        <v/>
      </c>
      <c r="H99" s="18" t="n">
        <v>-204</v>
      </c>
      <c r="I99" s="18" t="n">
        <v>44</v>
      </c>
      <c r="J99" s="18" t="n">
        <v>-98</v>
      </c>
      <c r="K99" s="20" t="n"/>
      <c r="L99" s="20" t="n"/>
      <c r="M99" s="20" t="n"/>
      <c r="N99" s="20" t="n"/>
      <c r="O99" s="18" t="n">
        <v>3291</v>
      </c>
      <c r="P99" s="18" t="n">
        <v>68</v>
      </c>
      <c r="Q99" s="18" t="inlineStr">
        <is>
          <t>null</t>
        </is>
      </c>
      <c r="R99" s="18" t="n">
        <v>1</v>
      </c>
      <c r="S99" s="18" t="n">
        <v>3450</v>
      </c>
      <c r="T99" s="18" t="n">
        <v>70</v>
      </c>
      <c r="U99" s="18" t="inlineStr">
        <is>
          <t>null</t>
        </is>
      </c>
      <c r="V99" s="18" t="n">
        <v>1</v>
      </c>
    </row>
    <row r="100" ht="45" customHeight="1">
      <c r="A100" s="4" t="inlineStr">
        <is>
          <t>CNAE</t>
        </is>
      </c>
      <c r="B100" t="n">
        <v>47571</v>
      </c>
      <c r="C100" s="12" t="inlineStr">
        <is>
          <t>Comércio varejista especializado de peças e acessórios para aparelhos eletroeletrônicos para uso doméstico, exceto informática e comunicação</t>
        </is>
      </c>
      <c r="D100" s="23" t="n">
        <v>31737</v>
      </c>
      <c r="E100" s="23" t="n">
        <v>33030</v>
      </c>
      <c r="F100" s="18" t="n">
        <v>34474</v>
      </c>
      <c r="G100" s="19">
        <f>F100+J100</f>
        <v/>
      </c>
      <c r="H100" s="18" t="n">
        <v>1521</v>
      </c>
      <c r="I100" s="18" t="n">
        <v>1689</v>
      </c>
      <c r="J100" s="18" t="n">
        <v>683</v>
      </c>
      <c r="K100" s="20" t="n"/>
      <c r="L100" s="20" t="n"/>
      <c r="M100" s="20" t="n"/>
      <c r="N100" s="20" t="n"/>
      <c r="O100" s="18" t="n">
        <v>17465</v>
      </c>
      <c r="P100" s="18" t="n">
        <v>608</v>
      </c>
      <c r="Q100" s="18" t="n">
        <v>29</v>
      </c>
      <c r="R100" s="18" t="n">
        <v>8</v>
      </c>
      <c r="S100" s="18" t="n">
        <v>19613</v>
      </c>
      <c r="T100" s="18" t="n">
        <v>633</v>
      </c>
      <c r="U100" s="18" t="n">
        <v>28</v>
      </c>
      <c r="V100" s="18" t="n">
        <v>7</v>
      </c>
    </row>
    <row r="101" ht="30" customHeight="1">
      <c r="A101" s="4" t="inlineStr">
        <is>
          <t>CNAE</t>
        </is>
      </c>
      <c r="B101" t="n">
        <v>47598</v>
      </c>
      <c r="C101" s="12" t="inlineStr">
        <is>
          <t>Comércio varejista de artigos de uso doméstico não especificados anteriormente</t>
        </is>
      </c>
      <c r="D101" s="23" t="n">
        <v>91305</v>
      </c>
      <c r="E101" s="23" t="n">
        <v>92710</v>
      </c>
      <c r="F101" s="18" t="n">
        <v>94859</v>
      </c>
      <c r="G101" s="19">
        <f>F101+J101</f>
        <v/>
      </c>
      <c r="H101" s="18" t="n">
        <v>3287</v>
      </c>
      <c r="I101" s="18" t="n">
        <v>2868</v>
      </c>
      <c r="J101" s="18" t="n">
        <v>3119</v>
      </c>
      <c r="K101" s="20" t="n"/>
      <c r="L101" s="20" t="n"/>
      <c r="M101" s="20" t="n"/>
      <c r="N101" s="20" t="n"/>
      <c r="O101" s="18" t="n">
        <v>34432</v>
      </c>
      <c r="P101" s="18" t="n">
        <v>2159</v>
      </c>
      <c r="Q101" s="18" t="n">
        <v>75</v>
      </c>
      <c r="R101" s="18" t="n">
        <v>22</v>
      </c>
      <c r="S101" s="18" t="n">
        <v>37566</v>
      </c>
      <c r="T101" s="18" t="n">
        <v>2163</v>
      </c>
      <c r="U101" s="18" t="n">
        <v>87</v>
      </c>
      <c r="V101" s="18" t="n">
        <v>21</v>
      </c>
    </row>
    <row r="102">
      <c r="A102" s="4" t="inlineStr">
        <is>
          <t>CNAE</t>
        </is>
      </c>
      <c r="B102" t="n">
        <v>47636</v>
      </c>
      <c r="C102" s="12" t="inlineStr">
        <is>
          <t>Comércio varejista de artigos recreativos e esportivos</t>
        </is>
      </c>
      <c r="D102" s="23" t="n">
        <v>86223</v>
      </c>
      <c r="E102" s="23" t="n">
        <v>85857</v>
      </c>
      <c r="F102" s="18" t="n">
        <v>87443</v>
      </c>
      <c r="G102" s="19">
        <f>F102+J102</f>
        <v/>
      </c>
      <c r="H102" s="18" t="n">
        <v>-942</v>
      </c>
      <c r="I102" s="18" t="n">
        <v>2323</v>
      </c>
      <c r="J102" s="18" t="n">
        <v>3351</v>
      </c>
      <c r="K102" s="20" t="n"/>
      <c r="L102" s="20" t="n"/>
      <c r="M102" s="20" t="n"/>
      <c r="N102" s="20" t="n"/>
      <c r="O102" s="18" t="n">
        <v>43595</v>
      </c>
      <c r="P102" s="18" t="n">
        <v>1815</v>
      </c>
      <c r="Q102" s="18" t="n">
        <v>32</v>
      </c>
      <c r="R102" s="18" t="n">
        <v>12</v>
      </c>
      <c r="S102" s="18" t="n">
        <v>46998</v>
      </c>
      <c r="T102" s="18" t="n">
        <v>1851</v>
      </c>
      <c r="U102" s="18" t="n">
        <v>43</v>
      </c>
      <c r="V102" s="18" t="n">
        <v>13</v>
      </c>
    </row>
    <row r="103" ht="30" customHeight="1">
      <c r="A103" s="4" t="inlineStr">
        <is>
          <t>CNAE</t>
        </is>
      </c>
      <c r="B103" t="n">
        <v>47725</v>
      </c>
      <c r="C103" s="12" t="inlineStr">
        <is>
          <t>Comércio varejista de cosméticos, produtos de perfumaria e de higiene pessoal</t>
        </is>
      </c>
      <c r="D103" s="23" t="n">
        <v>118099</v>
      </c>
      <c r="E103" s="23" t="n">
        <v>125258</v>
      </c>
      <c r="F103" s="18" t="n">
        <v>137246</v>
      </c>
      <c r="G103" s="19">
        <f>F103+J103</f>
        <v/>
      </c>
      <c r="H103" s="18" t="n">
        <v>7595</v>
      </c>
      <c r="I103" s="18" t="n">
        <v>11748</v>
      </c>
      <c r="J103" s="18" t="n">
        <v>8535</v>
      </c>
      <c r="K103" s="20" t="n"/>
      <c r="L103" s="20" t="n"/>
      <c r="M103" s="20" t="n"/>
      <c r="N103" s="20" t="n"/>
      <c r="O103" s="18" t="n">
        <v>55042</v>
      </c>
      <c r="P103" s="18" t="n">
        <v>2558</v>
      </c>
      <c r="Q103" s="18" t="n">
        <v>76</v>
      </c>
      <c r="R103" s="18" t="n">
        <v>23</v>
      </c>
      <c r="S103" s="18" t="n">
        <v>60844</v>
      </c>
      <c r="T103" s="18" t="n">
        <v>2809</v>
      </c>
      <c r="U103" s="18" t="n">
        <v>96</v>
      </c>
      <c r="V103" s="18" t="n">
        <v>34</v>
      </c>
    </row>
    <row r="104">
      <c r="A104" s="4" t="inlineStr">
        <is>
          <t>CNAE</t>
        </is>
      </c>
      <c r="B104" t="n">
        <v>47733</v>
      </c>
      <c r="C104" s="12" t="inlineStr">
        <is>
          <t>Comércio varejista de artigos médicos e ortopédicos</t>
        </is>
      </c>
      <c r="D104" s="23" t="n">
        <v>20398</v>
      </c>
      <c r="E104" s="23" t="n">
        <v>20263</v>
      </c>
      <c r="F104" s="18" t="n">
        <v>20321</v>
      </c>
      <c r="G104" s="19">
        <f>F104+J104</f>
        <v/>
      </c>
      <c r="H104" s="18" t="n">
        <v>334</v>
      </c>
      <c r="I104" s="18" t="n">
        <v>352</v>
      </c>
      <c r="J104" s="18" t="n">
        <v>-33</v>
      </c>
      <c r="K104" s="20" t="n"/>
      <c r="L104" s="20" t="n"/>
      <c r="M104" s="20" t="n"/>
      <c r="N104" s="20" t="n"/>
      <c r="O104" s="18" t="n">
        <v>10904</v>
      </c>
      <c r="P104" s="18" t="n">
        <v>352</v>
      </c>
      <c r="Q104" s="18" t="n">
        <v>16</v>
      </c>
      <c r="R104" s="18" t="n">
        <v>2</v>
      </c>
      <c r="S104" s="18" t="n">
        <v>11555</v>
      </c>
      <c r="T104" s="18" t="n">
        <v>359</v>
      </c>
      <c r="U104" s="18" t="n">
        <v>16</v>
      </c>
      <c r="V104" s="18" t="n">
        <v>3</v>
      </c>
    </row>
    <row r="105">
      <c r="A105" s="4" t="inlineStr">
        <is>
          <t>CNAE</t>
        </is>
      </c>
      <c r="B105" t="n">
        <v>47741</v>
      </c>
      <c r="C105" s="12" t="inlineStr">
        <is>
          <t>Comércio varejista de artigos de óptica</t>
        </is>
      </c>
      <c r="D105" s="23" t="n">
        <v>90140</v>
      </c>
      <c r="E105" s="23" t="n">
        <v>91832</v>
      </c>
      <c r="F105" s="18" t="n">
        <v>94167</v>
      </c>
      <c r="G105" s="19">
        <f>F105+J105</f>
        <v/>
      </c>
      <c r="H105" s="18" t="n">
        <v>2126</v>
      </c>
      <c r="I105" s="18" t="n">
        <v>2244</v>
      </c>
      <c r="J105" s="18" t="n">
        <v>950</v>
      </c>
      <c r="K105" s="20" t="n"/>
      <c r="L105" s="20" t="n"/>
      <c r="M105" s="20" t="n"/>
      <c r="N105" s="20" t="n"/>
      <c r="O105" s="18" t="n">
        <v>44339</v>
      </c>
      <c r="P105" s="18" t="n">
        <v>1021</v>
      </c>
      <c r="Q105" s="18" t="n">
        <v>15</v>
      </c>
      <c r="R105" s="18" t="n">
        <v>2</v>
      </c>
      <c r="S105" s="18" t="n">
        <v>47431</v>
      </c>
      <c r="T105" s="18" t="n">
        <v>1063</v>
      </c>
      <c r="U105" s="18" t="n">
        <v>15</v>
      </c>
      <c r="V105" s="18" t="inlineStr">
        <is>
          <t>null</t>
        </is>
      </c>
    </row>
    <row r="106">
      <c r="A106" s="4" t="inlineStr">
        <is>
          <t>CNAE</t>
        </is>
      </c>
      <c r="B106" t="n">
        <v>47814</v>
      </c>
      <c r="C106" s="12" t="inlineStr">
        <is>
          <t>Comércio varejista de artigos do vestuário e acessórios</t>
        </is>
      </c>
      <c r="D106" s="23" t="n">
        <v>631858</v>
      </c>
      <c r="E106" s="23" t="n">
        <v>634499</v>
      </c>
      <c r="F106" s="18" t="n">
        <v>638992</v>
      </c>
      <c r="G106" s="19">
        <f>F106+J106</f>
        <v/>
      </c>
      <c r="H106" s="18" t="n">
        <v>2343</v>
      </c>
      <c r="I106" s="18" t="n">
        <v>6703</v>
      </c>
      <c r="J106" s="18" t="n">
        <v>-649</v>
      </c>
      <c r="K106" s="20" t="n"/>
      <c r="L106" s="20" t="n"/>
      <c r="M106" s="20" t="n"/>
      <c r="N106" s="20" t="n"/>
      <c r="O106" s="18" t="n">
        <v>284723</v>
      </c>
      <c r="P106" s="18" t="n">
        <v>11994</v>
      </c>
      <c r="Q106" s="18" t="n">
        <v>501</v>
      </c>
      <c r="R106" s="18" t="n">
        <v>97</v>
      </c>
      <c r="S106" s="18" t="n">
        <v>305667</v>
      </c>
      <c r="T106" s="18" t="n">
        <v>12082</v>
      </c>
      <c r="U106" s="18" t="n">
        <v>498</v>
      </c>
      <c r="V106" s="18" t="n">
        <v>103</v>
      </c>
    </row>
    <row r="107">
      <c r="A107" s="4" t="inlineStr">
        <is>
          <t>CNAE</t>
        </is>
      </c>
      <c r="B107" t="n">
        <v>47822</v>
      </c>
      <c r="C107" s="12" t="inlineStr">
        <is>
          <t>Comércio varejista de calçados e artigos de viagem</t>
        </is>
      </c>
      <c r="D107" s="23" t="n">
        <v>178800</v>
      </c>
      <c r="E107" s="23" t="n">
        <v>174881</v>
      </c>
      <c r="F107" s="18" t="n">
        <v>174481</v>
      </c>
      <c r="G107" s="19">
        <f>F107+J107</f>
        <v/>
      </c>
      <c r="H107" s="18" t="n">
        <v>-263</v>
      </c>
      <c r="I107" s="18" t="n">
        <v>1580</v>
      </c>
      <c r="J107" s="18" t="n">
        <v>-2765</v>
      </c>
      <c r="K107" s="20" t="n"/>
      <c r="L107" s="20" t="n"/>
      <c r="M107" s="20" t="n"/>
      <c r="N107" s="20" t="n"/>
      <c r="O107" s="18" t="n">
        <v>46348</v>
      </c>
      <c r="P107" s="18" t="n">
        <v>4813</v>
      </c>
      <c r="Q107" s="18" t="n">
        <v>89</v>
      </c>
      <c r="R107" s="18" t="n">
        <v>8</v>
      </c>
      <c r="S107" s="18" t="n">
        <v>49554</v>
      </c>
      <c r="T107" s="18" t="n">
        <v>4795</v>
      </c>
      <c r="U107" s="18" t="n">
        <v>85</v>
      </c>
      <c r="V107" s="18" t="n">
        <v>5</v>
      </c>
    </row>
    <row r="108">
      <c r="A108" s="4" t="inlineStr">
        <is>
          <t>CNAE</t>
        </is>
      </c>
      <c r="B108" t="n">
        <v>47831</v>
      </c>
      <c r="C108" s="12" t="inlineStr">
        <is>
          <t>Comércio varejista de jóias e relógios</t>
        </is>
      </c>
      <c r="D108" s="23" t="n">
        <v>39075</v>
      </c>
      <c r="E108" s="23" t="n">
        <v>40093</v>
      </c>
      <c r="F108" s="18" t="n">
        <v>42011</v>
      </c>
      <c r="G108" s="19">
        <f>F108+J108</f>
        <v/>
      </c>
      <c r="H108" s="18" t="n">
        <v>986</v>
      </c>
      <c r="I108" s="18" t="n">
        <v>2152</v>
      </c>
      <c r="J108" s="18" t="n">
        <v>562</v>
      </c>
      <c r="K108" s="20" t="n"/>
      <c r="L108" s="20" t="n"/>
      <c r="M108" s="20" t="n"/>
      <c r="N108" s="20" t="n"/>
      <c r="O108" s="18" t="n">
        <v>19719</v>
      </c>
      <c r="P108" s="18" t="n">
        <v>704</v>
      </c>
      <c r="Q108" s="18" t="n">
        <v>7</v>
      </c>
      <c r="R108" s="18" t="n">
        <v>3</v>
      </c>
      <c r="S108" s="18" t="n">
        <v>21546</v>
      </c>
      <c r="T108" s="18" t="n">
        <v>732</v>
      </c>
      <c r="U108" s="18" t="n">
        <v>7</v>
      </c>
      <c r="V108" s="18" t="n">
        <v>3</v>
      </c>
    </row>
    <row r="109">
      <c r="A109" s="4" t="inlineStr">
        <is>
          <t>CNAE</t>
        </is>
      </c>
      <c r="B109" t="n">
        <v>47857</v>
      </c>
      <c r="C109" s="12" t="inlineStr">
        <is>
          <t>Comércio varejista de artigos usados</t>
        </is>
      </c>
      <c r="D109" s="23" t="n">
        <v>8375</v>
      </c>
      <c r="E109" s="23" t="n">
        <v>10092</v>
      </c>
      <c r="F109" s="18" t="n">
        <v>10732</v>
      </c>
      <c r="G109" s="19">
        <f>F109+J109</f>
        <v/>
      </c>
      <c r="H109" s="18" t="n">
        <v>1784</v>
      </c>
      <c r="I109" s="18" t="n">
        <v>632</v>
      </c>
      <c r="J109" s="18" t="n">
        <v>3</v>
      </c>
      <c r="K109" s="20" t="n"/>
      <c r="L109" s="20" t="n"/>
      <c r="M109" s="20" t="n"/>
      <c r="N109" s="20" t="n"/>
      <c r="O109" s="18" t="n">
        <v>4962</v>
      </c>
      <c r="P109" s="18" t="n">
        <v>230</v>
      </c>
      <c r="Q109" s="18" t="n">
        <v>1</v>
      </c>
      <c r="R109" s="18" t="n">
        <v>1</v>
      </c>
      <c r="S109" s="18" t="n">
        <v>5552</v>
      </c>
      <c r="T109" s="18" t="n">
        <v>203</v>
      </c>
      <c r="U109" s="18" t="n">
        <v>1</v>
      </c>
      <c r="V109" s="18" t="n">
        <v>1</v>
      </c>
    </row>
    <row r="110" ht="30" customHeight="1">
      <c r="A110" s="4" t="inlineStr">
        <is>
          <t>CNAE</t>
        </is>
      </c>
      <c r="B110" t="n">
        <v>47890</v>
      </c>
      <c r="C110" s="12" t="inlineStr">
        <is>
          <t>Comércio varejista de outros produtos novos não especificados anteriormente</t>
        </is>
      </c>
      <c r="D110" s="23" t="n">
        <v>394217</v>
      </c>
      <c r="E110" s="23" t="n">
        <v>387513</v>
      </c>
      <c r="F110" s="18" t="n">
        <v>389704</v>
      </c>
      <c r="G110" s="19">
        <f>F110+J110</f>
        <v/>
      </c>
      <c r="H110" s="18" t="n">
        <v>4801</v>
      </c>
      <c r="I110" s="18" t="n">
        <v>7561</v>
      </c>
      <c r="J110" s="18" t="n">
        <v>7221</v>
      </c>
      <c r="K110" s="20" t="n"/>
      <c r="L110" s="20" t="n"/>
      <c r="M110" s="20" t="n"/>
      <c r="N110" s="20" t="n"/>
      <c r="O110" s="18" t="n">
        <v>181236</v>
      </c>
      <c r="P110" s="18" t="n">
        <v>7411</v>
      </c>
      <c r="Q110" s="18" t="n">
        <v>232</v>
      </c>
      <c r="R110" s="18" t="n">
        <v>85</v>
      </c>
      <c r="S110" s="18" t="n">
        <v>193119</v>
      </c>
      <c r="T110" s="18" t="n">
        <v>7586</v>
      </c>
      <c r="U110" s="18" t="n">
        <v>256</v>
      </c>
      <c r="V110" s="18" t="n">
        <v>81</v>
      </c>
    </row>
  </sheetData>
  <mergeCells count="7">
    <mergeCell ref="A4:B4"/>
    <mergeCell ref="S2:V2"/>
    <mergeCell ref="A5:B5"/>
    <mergeCell ref="O2:R2"/>
    <mergeCell ref="K2:N2"/>
    <mergeCell ref="H2:J2"/>
    <mergeCell ref="D1:J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Lamachia Carvalho</dc:creator>
  <dcterms:created xsi:type="dcterms:W3CDTF">2025-11-07T13:41:24Z</dcterms:created>
  <dcterms:modified xsi:type="dcterms:W3CDTF">2026-08-24T14:37:04Z</dcterms:modified>
  <cp:lastModifiedBy>Amilton Lobo Mendes Junior</cp:lastModifiedBy>
</cp:coreProperties>
</file>